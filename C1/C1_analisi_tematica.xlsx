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/>
  <mc:AlternateContent xmlns:mc="http://schemas.openxmlformats.org/markup-compatibility/2006">
    <mc:Choice Requires="x15">
      <x15ac:absPath xmlns:x15ac="http://schemas.microsoft.com/office/spreadsheetml/2010/11/ac" url="/Users/antoniogeorgiev/Downloads/"/>
    </mc:Choice>
  </mc:AlternateContent>
  <xr:revisionPtr revIDLastSave="0" documentId="13_ncr:1_{A99B2F51-DD3D-BA4F-8D93-29093004F2FC}" xr6:coauthVersionLast="47" xr6:coauthVersionMax="47" xr10:uidLastSave="{00000000-0000-0000-0000-000000000000}"/>
  <bookViews>
    <workbookView xWindow="0" yWindow="660" windowWidth="27480" windowHeight="17620" tabRatio="500" activeTab="3" xr2:uid="{00000000-000D-0000-FFFF-FFFF00000000}"/>
  </bookViews>
  <sheets>
    <sheet name="Codifica" sheetId="1" r:id="rId1"/>
    <sheet name="Temi" sheetId="2" r:id="rId2"/>
    <sheet name="Partecipanti" sheetId="3" r:id="rId3"/>
    <sheet name="Note" sheetId="4" r:id="rId4"/>
  </sheets>
  <definedNames>
    <definedName name="_xlnm._FilterDatabase" localSheetId="0" hidden="1">Codifica!$A$1:$F$43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7" i="2" l="1"/>
  <c r="F7" i="2"/>
  <c r="E7" i="2"/>
  <c r="D7" i="2"/>
  <c r="H7" i="2" s="1"/>
  <c r="C7" i="2"/>
  <c r="G6" i="2"/>
  <c r="F6" i="2"/>
  <c r="E6" i="2"/>
  <c r="D6" i="2"/>
  <c r="H6" i="2" s="1"/>
  <c r="C6" i="2"/>
  <c r="H5" i="2"/>
  <c r="G5" i="2"/>
  <c r="F5" i="2"/>
  <c r="E5" i="2"/>
  <c r="D5" i="2"/>
  <c r="C5" i="2"/>
  <c r="H4" i="2"/>
  <c r="G4" i="2"/>
  <c r="F4" i="2"/>
  <c r="E4" i="2"/>
  <c r="D4" i="2"/>
  <c r="C4" i="2"/>
  <c r="H3" i="2"/>
  <c r="G3" i="2"/>
  <c r="F3" i="2"/>
  <c r="E3" i="2"/>
  <c r="D3" i="2"/>
  <c r="C3" i="2"/>
  <c r="H2" i="2"/>
  <c r="G2" i="2"/>
  <c r="F2" i="2"/>
  <c r="E2" i="2"/>
  <c r="D2" i="2"/>
  <c r="C2" i="2"/>
  <c r="C8" i="2" s="1"/>
</calcChain>
</file>

<file path=xl/sharedStrings.xml><?xml version="1.0" encoding="utf-8"?>
<sst xmlns="http://schemas.openxmlformats.org/spreadsheetml/2006/main" count="270" uniqueCount="139">
  <si>
    <t>#</t>
  </si>
  <si>
    <t>Partecipante</t>
  </si>
  <si>
    <t>Estratto</t>
  </si>
  <si>
    <t>Tipo di estratto</t>
  </si>
  <si>
    <t>Codice</t>
  </si>
  <si>
    <t>Tema</t>
  </si>
  <si>
    <t>P1</t>
  </si>
  <si>
    <t>«Mi posiziono sempre, per l'andata, in testa […] trovo sempre il posto libero»</t>
  </si>
  <si>
    <t>trascrizione</t>
  </si>
  <si>
    <t>Sale in testa per trovare posto</t>
  </si>
  <si>
    <t>T1</t>
  </si>
  <si>
    <t>«Ho una porta e so che […] arrivo giusto dove ci sono le scale per andare al Politecnico»</t>
  </si>
  <si>
    <t>Sceglie la porta in base all'uscita</t>
  </si>
  <si>
    <t>P2</t>
  </si>
  <si>
    <t>Si mette in testa o in coda al treno perché c'è meno gente</t>
  </si>
  <si>
    <t>appunti</t>
  </si>
  <si>
    <t>Sale in testa/coda per trovare posto</t>
  </si>
  <si>
    <t>Nei primi vagoni, vicino ai controllori, c'è meno gente</t>
  </si>
  <si>
    <t>Conosce i vagoni meno pieni</t>
  </si>
  <si>
    <t>L'affollamento dipende da giorni e orari (domenica, rientro serale)</t>
  </si>
  <si>
    <t>Conosce i picchi per giorno e orario</t>
  </si>
  <si>
    <t>P4</t>
  </si>
  <si>
    <t>«il piano in alto della prima o dell'ultima vettura che nessuno sa che esiste»</t>
  </si>
  <si>
    <t>Piano alto delle carrozze di testa/coda</t>
  </si>
  <si>
    <t>«dove mettermi sul marciapiede per salire già giusto per sedermi»</t>
  </si>
  <si>
    <t>Sceglie il punto della banchina</t>
  </si>
  <si>
    <t>«No, non consulto niente […] alla fine non è che variano»</t>
  </si>
  <si>
    <t>Non usa app</t>
  </si>
  <si>
    <t>Usa Google per l'affollamento ma non lo ritiene affidabile</t>
  </si>
  <si>
    <t>Non si fida dei dati disponibili</t>
  </si>
  <si>
    <t>P3</t>
  </si>
  <si>
    <t>«non so neanche se esistono […] dopo tre anni […] ti raccogli»</t>
  </si>
  <si>
    <t>Si affida all'esperienza</t>
  </si>
  <si>
    <t>«Non funziona sull'applicazione di Trenord»</t>
  </si>
  <si>
    <t>App Trenord inutilizzabile per l'affollamento</t>
  </si>
  <si>
    <t>«Calcolo in base di solito all'ora d'arrivo in aula»</t>
  </si>
  <si>
    <t>Treno scelto in base agli impegni</t>
  </si>
  <si>
    <t>T2</t>
  </si>
  <si>
    <t>«[Cambiato treno per evitare la folla?] No, mai capitato»</t>
  </si>
  <si>
    <t>Non cambia treno per la folla</t>
  </si>
  <si>
    <t>Gli orari non le permettevano cambiamenti; potendo, avrebbe preso l'auto</t>
  </si>
  <si>
    <t>Nessuna flessibilità; alternativa = auto</t>
  </si>
  <si>
    <t>«treno saltato per l'affollamento no perché […] i treni proprio fisicamente passano uno all'ora»</t>
  </si>
  <si>
    <t>Bassa frequenza: il treno non si salta</t>
  </si>
  <si>
    <t>«Con la metro capita spesso […] di aspettare la metro successiva»</t>
  </si>
  <si>
    <t>Con la metro aspetta la successiva</t>
  </si>
  <si>
    <t>«Lo troverei più utile per la metro»</t>
  </si>
  <si>
    <t>Info utile dove c'è alternativa</t>
  </si>
  <si>
    <t>«evito […] un altro treno che so essere critico […] prendo quello prima»</t>
  </si>
  <si>
    <t>Anticipa il treno critico</t>
  </si>
  <si>
    <t>«se mi capita una volta […] Certo, se tutte le mattine dovessi prendere quello, no»</t>
  </si>
  <si>
    <t>Tollera la folla se occasionale</t>
  </si>
  <si>
    <t>«Affollamento, secondo me, neanche troppo […] sulla questione ritardi è più importante»</t>
  </si>
  <si>
    <t>Ritardi più importanti della folla</t>
  </si>
  <si>
    <t>T3</t>
  </si>
  <si>
    <t>«aspettando quello del 12:47 che non è arrivato e ho dovuto aspettare mezz'ora»</t>
  </si>
  <si>
    <t>Corse cancellate</t>
  </si>
  <si>
    <t>«dovrebbero essere 40-50 minuti, ma finiscono sempre a essere almeno un'ora»</t>
  </si>
  <si>
    <t>Tempi di viaggio sempre superiori</t>
  </si>
  <si>
    <t>«1 ora e 35 di viaggio totali dei 40 che dovevano essere»</t>
  </si>
  <si>
    <t>Ritardi accumulati per precedenze</t>
  </si>
  <si>
    <t>«7.04 […] è puntualmente in ritardo […] la stazione è congestionatissima»</t>
  </si>
  <si>
    <t>Il ritardo somma i passeggeri di due treni</t>
  </si>
  <si>
    <t>«se c'è uno sciopero […] Cadorna si riempie subito»</t>
  </si>
  <si>
    <t>I disservizi generano folla</t>
  </si>
  <si>
    <t>«ho trovato un posto a sedere e che era puntuale»</t>
  </si>
  <si>
    <t>Viaggio buono = posto + puntualità</t>
  </si>
  <si>
    <t>«durante il Covid l'applicazione di Trenord forniva l'affollamento […] solo basato sulle report da parte degli utenti»</t>
  </si>
  <si>
    <t>App basata solo su segnalazioni</t>
  </si>
  <si>
    <t>T4</t>
  </si>
  <si>
    <t>I treni hanno i people counter sulle porte, ma i dati non vengono mostrati</t>
  </si>
  <si>
    <t>Sensori presenti, dati non usati</t>
  </si>
  <si>
    <t>«sono sempre molto restie le aziende a rilasciare ste cose»</t>
  </si>
  <si>
    <t>Barriere burocratiche sui dati</t>
  </si>
  <si>
    <t>«non so neanche se esistono»</t>
  </si>
  <si>
    <t>L'informazione non raggiunge l'utente</t>
  </si>
  <si>
    <t>«Se deve star lì ad aprire l'applicazione, cercarsi il treno… non lo fa»</t>
  </si>
  <si>
    <t>L'app è un passaggio in più</t>
  </si>
  <si>
    <t>T5</t>
  </si>
  <si>
    <t>«la gente non si rende conto che se si trova in una sezione piena del treno, un'altra sezione potrebbe essere vuota»</t>
  </si>
  <si>
    <t>Non si sa che altre carrozze sono vuote</t>
  </si>
  <si>
    <t>«sui monitor di bordo, una infografica che ti mostra l'affollamento delle vetture»</t>
  </si>
  <si>
    <t>Affollamento sui monitor di bordo (UK, Svizzera)</t>
  </si>
  <si>
    <t>«si trovano tutti un po' al centro, tranne […] nelle stazioni di testa dove salgono tutti prevalentemente in coda»</t>
  </si>
  <si>
    <t>Distribuzione non uniforme lungo il treno</t>
  </si>
  <si>
    <t>A Centrale la security Trenord fa attendere tutti in testa al marciapiede finché il treno si svuota</t>
  </si>
  <si>
    <t>Gestione della folla in banchina</t>
  </si>
  <si>
    <t>«80 persone […] dicono "prendo quello dopo" […] alla fine il problema permane»</t>
  </si>
  <si>
    <t>Rischio: la folla si sposta e basta</t>
  </si>
  <si>
    <t>Isolato</t>
  </si>
  <si>
    <t>Il riempimento dei vagoni dipende anche da chi c'è a bordo</t>
  </si>
  <si>
    <t>Scelta del vagone influenzata dagli occupanti</t>
  </si>
  <si>
    <t>«un guasto al treno porterebbe a una crisi […] nell'ordine dei 5-10 minuti»</t>
  </si>
  <si>
    <t>Sicurezza a rischio con treno pieno</t>
  </si>
  <si>
    <t>In divisa riceve domande dai viaggiatori a cui non sa rispondere</t>
  </si>
  <si>
    <t>Personale non formato per informare</t>
  </si>
  <si>
    <t>Pochi spazi per valigie grandi, da tenere vicino e a vista</t>
  </si>
  <si>
    <t>Spazio bagagli insufficiente</t>
  </si>
  <si>
    <t>Molte bici a bordo aumentano l'affollamento</t>
  </si>
  <si>
    <t>Bici a bordo</t>
  </si>
  <si>
    <t>Riferisce di una persona in carrozzina bloccata dagli ascensori guasti a Malnate</t>
  </si>
  <si>
    <t>Ascensori guasti (riferito, non diretto)</t>
  </si>
  <si>
    <t>Descrizione</t>
  </si>
  <si>
    <t>N. codici</t>
  </si>
  <si>
    <t>N. partecipanti</t>
  </si>
  <si>
    <t>Chi viaggia spesso gestisce la folla con strategie apprese, non con le app</t>
  </si>
  <si>
    <t>La folla si evita solo se c'è un'alternativa vicina: con la metro sì, col treno no</t>
  </si>
  <si>
    <t>Ritardi e folla vanno insieme: chi viaggia ogni giorno guarda prima l'affidabilità</t>
  </si>
  <si>
    <t>I dati sull'affollamento esistono ma non arrivano ai viaggiatori</t>
  </si>
  <si>
    <t>L'informazione serve dove si decide: in banchina e a bordo</t>
  </si>
  <si>
    <t>Codici con un solo partecipante: da approfondire, non formano ancora un tema</t>
  </si>
  <si>
    <t>Totale</t>
  </si>
  <si>
    <t>Sigla</t>
  </si>
  <si>
    <t>Profilo</t>
  </si>
  <si>
    <t>Tipo di utente</t>
  </si>
  <si>
    <t>Note</t>
  </si>
  <si>
    <t>Studente Polimi, pendolare treno + metro, 5 giorni su 7</t>
  </si>
  <si>
    <t>Lead</t>
  </si>
  <si>
    <t>Trascrizione automatica</t>
  </si>
  <si>
    <t>Ex pendolare, oggi usa l'auto, treno occasionale</t>
  </si>
  <si>
    <t>Marginale</t>
  </si>
  <si>
    <t>Appunti (non verbatim): citazioni da verificare sull'audio</t>
  </si>
  <si>
    <t>Studente Polimi, pendolare Tradate–Cadorna + metro, lun–gio</t>
  </si>
  <si>
    <t>Diretto</t>
  </si>
  <si>
    <t>Macchinista Trenitalia e pendolare Malnate–Milano</t>
  </si>
  <si>
    <t>Esperto di dominio</t>
  </si>
  <si>
    <t>P5</t>
  </si>
  <si>
    <t>Persona a mobilità ridotta</t>
  </si>
  <si>
    <t>Non reclutata</t>
  </si>
  <si>
    <t>Nessuna risposta al reclutamento</t>
  </si>
  <si>
    <t>Analisi tematica — C1 Needfinding</t>
  </si>
  <si>
    <t>Metodo: codifica induttiva (codici ricavati dai dati), poi raggruppamento dei codici in temi, come nell'esercitazione sul needfinding.</t>
  </si>
  <si>
    <t>Come aggiungere un codice: nuova riga nel foglio Codifica; Partecipante, Tipo di estratto e Tema hanno un menu a tendina. Il foglio Temi si aggiorna da solo.</t>
  </si>
  <si>
    <t>Corsivo, senza virgolette = parafrasi da appunti o sintesi, non parole testuali del partecipante.</t>
  </si>
  <si>
    <t>Isolato = codice con un solo partecipante: non forma un tema (no cherry picking), resta da approfondire.</t>
  </si>
  <si>
    <t>T5 si basa soprattutto sull'esperto (P4): va validato con gli utenti.</t>
  </si>
  <si>
    <t>La riga sugli ascensori guasti è riferita da P4, non vissuta da lui: non basta per un tema sulla mobilità ridotta.</t>
  </si>
  <si>
    <t>Riga 37: si riporta solo il dato neutro; il commento originale del partecipante su chi occupa i vagoni non va citato.</t>
  </si>
  <si>
    <t>«…» = citazione dalla trascrizione automatica:  […] indica parti omesse, comprese le volgarità.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</si>
</sst>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12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2430"/>
        <bgColor rgb="FF333300"/>
      </patternFill>
    </fill>
    <fill>
      <patternFill patternType="solid">
        <fgColor rgb="FFFFF4CC"/>
        <bgColor rgb="FFFBE3DE"/>
      </patternFill>
    </fill>
    <fill>
      <patternFill patternType="solid">
        <fgColor rgb="FFDDF1EE"/>
        <bgColor rgb="FFE8F0FB"/>
      </patternFill>
    </fill>
    <fill>
      <patternFill patternType="solid">
        <fgColor rgb="FFFBE3DE"/>
        <bgColor rgb="FFE6E4F3"/>
      </patternFill>
    </fill>
    <fill>
      <patternFill patternType="solid">
        <fgColor rgb="FFE6E4F3"/>
        <bgColor rgb="FFE8F0FB"/>
      </patternFill>
    </fill>
    <fill>
      <patternFill patternType="solid">
        <fgColor rgb="FFE8F0FB"/>
        <bgColor rgb="FFEEF1F5"/>
      </patternFill>
    </fill>
    <fill>
      <patternFill patternType="solid">
        <fgColor rgb="FFEEF1F5"/>
        <bgColor rgb="FFE8F0FB"/>
      </patternFill>
    </fill>
  </fills>
  <borders count="2">
    <border>
      <left/>
      <right/>
      <top/>
      <bottom/>
      <diagonal/>
    </border>
    <border>
      <left style="thin">
        <color rgb="FFD5DAE1"/>
      </left>
      <right style="thin">
        <color rgb="FFD5DAE1"/>
      </right>
      <top style="thin">
        <color rgb="FFD5DAE1"/>
      </top>
      <bottom style="thin">
        <color rgb="FFD5DAE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horizontal="center" vertical="top" wrapText="1"/>
    </xf>
    <xf numFmtId="0" fontId="5" fillId="3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horizontal="center" vertical="top" wrapText="1"/>
    </xf>
    <xf numFmtId="0" fontId="5" fillId="4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horizontal="center" vertical="top" wrapText="1"/>
    </xf>
    <xf numFmtId="0" fontId="3" fillId="6" borderId="1" xfId="0" applyFont="1" applyFill="1" applyBorder="1" applyAlignment="1">
      <alignment horizontal="center" vertical="top" wrapText="1"/>
    </xf>
    <xf numFmtId="0" fontId="3" fillId="6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horizontal="center" vertical="top" wrapText="1"/>
    </xf>
    <xf numFmtId="0" fontId="5" fillId="6" borderId="1" xfId="0" applyFont="1" applyFill="1" applyBorder="1" applyAlignment="1">
      <alignment vertical="top" wrapText="1"/>
    </xf>
    <xf numFmtId="0" fontId="3" fillId="7" borderId="1" xfId="0" applyFont="1" applyFill="1" applyBorder="1" applyAlignment="1">
      <alignment horizontal="center" vertical="top" wrapText="1"/>
    </xf>
    <xf numFmtId="0" fontId="3" fillId="7" borderId="1" xfId="0" applyFont="1" applyFill="1" applyBorder="1" applyAlignment="1">
      <alignment vertical="top" wrapText="1"/>
    </xf>
    <xf numFmtId="0" fontId="4" fillId="7" borderId="1" xfId="0" applyFont="1" applyFill="1" applyBorder="1" applyAlignment="1">
      <alignment horizontal="center" vertical="top" wrapText="1"/>
    </xf>
    <xf numFmtId="0" fontId="5" fillId="7" borderId="1" xfId="0" applyFont="1" applyFill="1" applyBorder="1" applyAlignment="1">
      <alignment vertical="top" wrapText="1"/>
    </xf>
    <xf numFmtId="0" fontId="3" fillId="8" borderId="1" xfId="0" applyFont="1" applyFill="1" applyBorder="1" applyAlignment="1">
      <alignment horizontal="center" vertical="top" wrapText="1"/>
    </xf>
    <xf numFmtId="0" fontId="3" fillId="8" borderId="1" xfId="0" applyFont="1" applyFill="1" applyBorder="1" applyAlignment="1">
      <alignment vertical="top" wrapText="1"/>
    </xf>
    <xf numFmtId="0" fontId="4" fillId="8" borderId="1" xfId="0" applyFont="1" applyFill="1" applyBorder="1" applyAlignment="1">
      <alignment horizontal="center" vertical="top" wrapText="1"/>
    </xf>
    <xf numFmtId="0" fontId="5" fillId="8" borderId="1" xfId="0" applyFont="1" applyFill="1" applyBorder="1" applyAlignment="1">
      <alignment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top" wrapText="1"/>
    </xf>
    <xf numFmtId="0" fontId="6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6E4F3"/>
      <rgbColor rgb="FF808080"/>
      <rgbColor rgb="FF9999FF"/>
      <rgbColor rgb="FF993366"/>
      <rgbColor rgb="FFFFF4CC"/>
      <rgbColor rgb="FFDDF1EE"/>
      <rgbColor rgb="FF660066"/>
      <rgbColor rgb="FFFF8080"/>
      <rgbColor rgb="FF0066CC"/>
      <rgbColor rgb="FFD5DA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0FB"/>
      <rgbColor rgb="FFEEF1F5"/>
      <rgbColor rgb="FFFFFF99"/>
      <rgbColor rgb="FF99CCFF"/>
      <rgbColor rgb="FFFF99CC"/>
      <rgbColor rgb="FFCC99FF"/>
      <rgbColor rgb="FFFBE3D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43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3"/>
  <sheetViews>
    <sheetView zoomScaleNormal="100" workbookViewId="0">
      <pane ySplit="1" topLeftCell="A3" activePane="bottomLeft" state="frozen"/>
      <selection pane="bottomLeft"/>
    </sheetView>
  </sheetViews>
  <sheetFormatPr baseColWidth="10" defaultColWidth="8.6640625" defaultRowHeight="15" x14ac:dyDescent="0.2"/>
  <cols>
    <col min="1" max="1" width="5" customWidth="1"/>
    <col min="2" max="2" width="13" customWidth="1"/>
    <col min="3" max="3" width="70" customWidth="1"/>
    <col min="4" max="4" width="16" customWidth="1"/>
    <col min="5" max="5" width="42" customWidth="1"/>
    <col min="6" max="6" width="10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>
        <v>1</v>
      </c>
      <c r="B2" s="2" t="s">
        <v>6</v>
      </c>
      <c r="C2" s="3" t="s">
        <v>7</v>
      </c>
      <c r="D2" s="2" t="s">
        <v>8</v>
      </c>
      <c r="E2" s="3" t="s">
        <v>9</v>
      </c>
      <c r="F2" s="4" t="s">
        <v>10</v>
      </c>
    </row>
    <row r="3" spans="1:6" ht="28" x14ac:dyDescent="0.2">
      <c r="A3" s="2">
        <v>2</v>
      </c>
      <c r="B3" s="2" t="s">
        <v>6</v>
      </c>
      <c r="C3" s="3" t="s">
        <v>11</v>
      </c>
      <c r="D3" s="2" t="s">
        <v>8</v>
      </c>
      <c r="E3" s="3" t="s">
        <v>12</v>
      </c>
      <c r="F3" s="4" t="s">
        <v>10</v>
      </c>
    </row>
    <row r="4" spans="1:6" x14ac:dyDescent="0.2">
      <c r="A4" s="2">
        <v>3</v>
      </c>
      <c r="B4" s="2" t="s">
        <v>13</v>
      </c>
      <c r="C4" s="5" t="s">
        <v>14</v>
      </c>
      <c r="D4" s="2" t="s">
        <v>15</v>
      </c>
      <c r="E4" s="3" t="s">
        <v>16</v>
      </c>
      <c r="F4" s="4" t="s">
        <v>10</v>
      </c>
    </row>
    <row r="5" spans="1:6" x14ac:dyDescent="0.2">
      <c r="A5" s="2">
        <v>4</v>
      </c>
      <c r="B5" s="2" t="s">
        <v>13</v>
      </c>
      <c r="C5" s="5" t="s">
        <v>17</v>
      </c>
      <c r="D5" s="2" t="s">
        <v>15</v>
      </c>
      <c r="E5" s="3" t="s">
        <v>18</v>
      </c>
      <c r="F5" s="4" t="s">
        <v>10</v>
      </c>
    </row>
    <row r="6" spans="1:6" x14ac:dyDescent="0.2">
      <c r="A6" s="2">
        <v>5</v>
      </c>
      <c r="B6" s="2" t="s">
        <v>13</v>
      </c>
      <c r="C6" s="5" t="s">
        <v>19</v>
      </c>
      <c r="D6" s="2" t="s">
        <v>15</v>
      </c>
      <c r="E6" s="3" t="s">
        <v>20</v>
      </c>
      <c r="F6" s="4" t="s">
        <v>10</v>
      </c>
    </row>
    <row r="7" spans="1:6" x14ac:dyDescent="0.2">
      <c r="A7" s="2">
        <v>6</v>
      </c>
      <c r="B7" s="2" t="s">
        <v>21</v>
      </c>
      <c r="C7" s="3" t="s">
        <v>22</v>
      </c>
      <c r="D7" s="2" t="s">
        <v>8</v>
      </c>
      <c r="E7" s="3" t="s">
        <v>23</v>
      </c>
      <c r="F7" s="4" t="s">
        <v>10</v>
      </c>
    </row>
    <row r="8" spans="1:6" x14ac:dyDescent="0.2">
      <c r="A8" s="2">
        <v>7</v>
      </c>
      <c r="B8" s="2" t="s">
        <v>21</v>
      </c>
      <c r="C8" s="3" t="s">
        <v>24</v>
      </c>
      <c r="D8" s="2" t="s">
        <v>8</v>
      </c>
      <c r="E8" s="3" t="s">
        <v>25</v>
      </c>
      <c r="F8" s="4" t="s">
        <v>10</v>
      </c>
    </row>
    <row r="9" spans="1:6" x14ac:dyDescent="0.2">
      <c r="A9" s="2">
        <v>8</v>
      </c>
      <c r="B9" s="2" t="s">
        <v>6</v>
      </c>
      <c r="C9" s="3" t="s">
        <v>26</v>
      </c>
      <c r="D9" s="2" t="s">
        <v>8</v>
      </c>
      <c r="E9" s="3" t="s">
        <v>27</v>
      </c>
      <c r="F9" s="4" t="s">
        <v>10</v>
      </c>
    </row>
    <row r="10" spans="1:6" x14ac:dyDescent="0.2">
      <c r="A10" s="2">
        <v>9</v>
      </c>
      <c r="B10" s="2" t="s">
        <v>13</v>
      </c>
      <c r="C10" s="5" t="s">
        <v>28</v>
      </c>
      <c r="D10" s="2" t="s">
        <v>15</v>
      </c>
      <c r="E10" s="3" t="s">
        <v>29</v>
      </c>
      <c r="F10" s="4" t="s">
        <v>10</v>
      </c>
    </row>
    <row r="11" spans="1:6" x14ac:dyDescent="0.2">
      <c r="A11" s="2">
        <v>10</v>
      </c>
      <c r="B11" s="2" t="s">
        <v>30</v>
      </c>
      <c r="C11" s="3" t="s">
        <v>31</v>
      </c>
      <c r="D11" s="2" t="s">
        <v>8</v>
      </c>
      <c r="E11" s="3" t="s">
        <v>32</v>
      </c>
      <c r="F11" s="4" t="s">
        <v>10</v>
      </c>
    </row>
    <row r="12" spans="1:6" x14ac:dyDescent="0.2">
      <c r="A12" s="2">
        <v>11</v>
      </c>
      <c r="B12" s="2" t="s">
        <v>21</v>
      </c>
      <c r="C12" s="3" t="s">
        <v>33</v>
      </c>
      <c r="D12" s="2" t="s">
        <v>8</v>
      </c>
      <c r="E12" s="3" t="s">
        <v>34</v>
      </c>
      <c r="F12" s="4" t="s">
        <v>10</v>
      </c>
    </row>
    <row r="13" spans="1:6" x14ac:dyDescent="0.2">
      <c r="A13" s="6">
        <v>12</v>
      </c>
      <c r="B13" s="6" t="s">
        <v>6</v>
      </c>
      <c r="C13" s="7" t="s">
        <v>35</v>
      </c>
      <c r="D13" s="6" t="s">
        <v>8</v>
      </c>
      <c r="E13" s="7" t="s">
        <v>36</v>
      </c>
      <c r="F13" s="8" t="s">
        <v>37</v>
      </c>
    </row>
    <row r="14" spans="1:6" x14ac:dyDescent="0.2">
      <c r="A14" s="6">
        <v>13</v>
      </c>
      <c r="B14" s="6" t="s">
        <v>6</v>
      </c>
      <c r="C14" s="7" t="s">
        <v>38</v>
      </c>
      <c r="D14" s="6" t="s">
        <v>8</v>
      </c>
      <c r="E14" s="7" t="s">
        <v>39</v>
      </c>
      <c r="F14" s="8" t="s">
        <v>37</v>
      </c>
    </row>
    <row r="15" spans="1:6" x14ac:dyDescent="0.2">
      <c r="A15" s="6">
        <v>14</v>
      </c>
      <c r="B15" s="6" t="s">
        <v>13</v>
      </c>
      <c r="C15" s="9" t="s">
        <v>40</v>
      </c>
      <c r="D15" s="6" t="s">
        <v>15</v>
      </c>
      <c r="E15" s="7" t="s">
        <v>41</v>
      </c>
      <c r="F15" s="8" t="s">
        <v>37</v>
      </c>
    </row>
    <row r="16" spans="1:6" ht="28" x14ac:dyDescent="0.2">
      <c r="A16" s="6">
        <v>15</v>
      </c>
      <c r="B16" s="6" t="s">
        <v>30</v>
      </c>
      <c r="C16" s="7" t="s">
        <v>42</v>
      </c>
      <c r="D16" s="6" t="s">
        <v>8</v>
      </c>
      <c r="E16" s="7" t="s">
        <v>43</v>
      </c>
      <c r="F16" s="8" t="s">
        <v>37</v>
      </c>
    </row>
    <row r="17" spans="1:6" x14ac:dyDescent="0.2">
      <c r="A17" s="6">
        <v>16</v>
      </c>
      <c r="B17" s="6" t="s">
        <v>30</v>
      </c>
      <c r="C17" s="7" t="s">
        <v>44</v>
      </c>
      <c r="D17" s="6" t="s">
        <v>8</v>
      </c>
      <c r="E17" s="7" t="s">
        <v>45</v>
      </c>
      <c r="F17" s="8" t="s">
        <v>37</v>
      </c>
    </row>
    <row r="18" spans="1:6" x14ac:dyDescent="0.2">
      <c r="A18" s="6">
        <v>17</v>
      </c>
      <c r="B18" s="6" t="s">
        <v>30</v>
      </c>
      <c r="C18" s="7" t="s">
        <v>46</v>
      </c>
      <c r="D18" s="6" t="s">
        <v>8</v>
      </c>
      <c r="E18" s="7" t="s">
        <v>47</v>
      </c>
      <c r="F18" s="8" t="s">
        <v>37</v>
      </c>
    </row>
    <row r="19" spans="1:6" x14ac:dyDescent="0.2">
      <c r="A19" s="6">
        <v>18</v>
      </c>
      <c r="B19" s="6" t="s">
        <v>21</v>
      </c>
      <c r="C19" s="7" t="s">
        <v>48</v>
      </c>
      <c r="D19" s="6" t="s">
        <v>8</v>
      </c>
      <c r="E19" s="7" t="s">
        <v>49</v>
      </c>
      <c r="F19" s="8" t="s">
        <v>37</v>
      </c>
    </row>
    <row r="20" spans="1:6" x14ac:dyDescent="0.2">
      <c r="A20" s="6">
        <v>19</v>
      </c>
      <c r="B20" s="6" t="s">
        <v>21</v>
      </c>
      <c r="C20" s="7" t="s">
        <v>50</v>
      </c>
      <c r="D20" s="6" t="s">
        <v>8</v>
      </c>
      <c r="E20" s="7" t="s">
        <v>51</v>
      </c>
      <c r="F20" s="8" t="s">
        <v>37</v>
      </c>
    </row>
    <row r="21" spans="1:6" ht="28" x14ac:dyDescent="0.2">
      <c r="A21" s="10">
        <v>20</v>
      </c>
      <c r="B21" s="10" t="s">
        <v>6</v>
      </c>
      <c r="C21" s="11" t="s">
        <v>52</v>
      </c>
      <c r="D21" s="10" t="s">
        <v>8</v>
      </c>
      <c r="E21" s="11" t="s">
        <v>53</v>
      </c>
      <c r="F21" s="12" t="s">
        <v>54</v>
      </c>
    </row>
    <row r="22" spans="1:6" x14ac:dyDescent="0.2">
      <c r="A22" s="10">
        <v>21</v>
      </c>
      <c r="B22" s="10" t="s">
        <v>6</v>
      </c>
      <c r="C22" s="11" t="s">
        <v>55</v>
      </c>
      <c r="D22" s="10" t="s">
        <v>8</v>
      </c>
      <c r="E22" s="11" t="s">
        <v>56</v>
      </c>
      <c r="F22" s="12" t="s">
        <v>54</v>
      </c>
    </row>
    <row r="23" spans="1:6" x14ac:dyDescent="0.2">
      <c r="A23" s="10">
        <v>22</v>
      </c>
      <c r="B23" s="10" t="s">
        <v>30</v>
      </c>
      <c r="C23" s="11" t="s">
        <v>57</v>
      </c>
      <c r="D23" s="10" t="s">
        <v>8</v>
      </c>
      <c r="E23" s="11" t="s">
        <v>58</v>
      </c>
      <c r="F23" s="12" t="s">
        <v>54</v>
      </c>
    </row>
    <row r="24" spans="1:6" x14ac:dyDescent="0.2">
      <c r="A24" s="10">
        <v>23</v>
      </c>
      <c r="B24" s="10" t="s">
        <v>30</v>
      </c>
      <c r="C24" s="11" t="s">
        <v>59</v>
      </c>
      <c r="D24" s="10" t="s">
        <v>8</v>
      </c>
      <c r="E24" s="11" t="s">
        <v>60</v>
      </c>
      <c r="F24" s="12" t="s">
        <v>54</v>
      </c>
    </row>
    <row r="25" spans="1:6" x14ac:dyDescent="0.2">
      <c r="A25" s="10">
        <v>24</v>
      </c>
      <c r="B25" s="10" t="s">
        <v>30</v>
      </c>
      <c r="C25" s="11" t="s">
        <v>61</v>
      </c>
      <c r="D25" s="10" t="s">
        <v>8</v>
      </c>
      <c r="E25" s="11" t="s">
        <v>62</v>
      </c>
      <c r="F25" s="12" t="s">
        <v>54</v>
      </c>
    </row>
    <row r="26" spans="1:6" x14ac:dyDescent="0.2">
      <c r="A26" s="10">
        <v>25</v>
      </c>
      <c r="B26" s="10" t="s">
        <v>30</v>
      </c>
      <c r="C26" s="11" t="s">
        <v>63</v>
      </c>
      <c r="D26" s="10" t="s">
        <v>8</v>
      </c>
      <c r="E26" s="11" t="s">
        <v>64</v>
      </c>
      <c r="F26" s="12" t="s">
        <v>54</v>
      </c>
    </row>
    <row r="27" spans="1:6" x14ac:dyDescent="0.2">
      <c r="A27" s="10">
        <v>26</v>
      </c>
      <c r="B27" s="10" t="s">
        <v>21</v>
      </c>
      <c r="C27" s="11" t="s">
        <v>65</v>
      </c>
      <c r="D27" s="10" t="s">
        <v>8</v>
      </c>
      <c r="E27" s="11" t="s">
        <v>66</v>
      </c>
      <c r="F27" s="12" t="s">
        <v>54</v>
      </c>
    </row>
    <row r="28" spans="1:6" ht="28" x14ac:dyDescent="0.2">
      <c r="A28" s="13">
        <v>27</v>
      </c>
      <c r="B28" s="13" t="s">
        <v>21</v>
      </c>
      <c r="C28" s="14" t="s">
        <v>67</v>
      </c>
      <c r="D28" s="13" t="s">
        <v>8</v>
      </c>
      <c r="E28" s="14" t="s">
        <v>68</v>
      </c>
      <c r="F28" s="15" t="s">
        <v>69</v>
      </c>
    </row>
    <row r="29" spans="1:6" x14ac:dyDescent="0.2">
      <c r="A29" s="13">
        <v>28</v>
      </c>
      <c r="B29" s="13" t="s">
        <v>21</v>
      </c>
      <c r="C29" s="16" t="s">
        <v>70</v>
      </c>
      <c r="D29" s="13" t="s">
        <v>15</v>
      </c>
      <c r="E29" s="14" t="s">
        <v>71</v>
      </c>
      <c r="F29" s="15" t="s">
        <v>69</v>
      </c>
    </row>
    <row r="30" spans="1:6" x14ac:dyDescent="0.2">
      <c r="A30" s="13">
        <v>29</v>
      </c>
      <c r="B30" s="13" t="s">
        <v>21</v>
      </c>
      <c r="C30" s="14" t="s">
        <v>72</v>
      </c>
      <c r="D30" s="13" t="s">
        <v>8</v>
      </c>
      <c r="E30" s="14" t="s">
        <v>73</v>
      </c>
      <c r="F30" s="15" t="s">
        <v>69</v>
      </c>
    </row>
    <row r="31" spans="1:6" x14ac:dyDescent="0.2">
      <c r="A31" s="13">
        <v>30</v>
      </c>
      <c r="B31" s="13" t="s">
        <v>30</v>
      </c>
      <c r="C31" s="14" t="s">
        <v>74</v>
      </c>
      <c r="D31" s="13" t="s">
        <v>8</v>
      </c>
      <c r="E31" s="14" t="s">
        <v>75</v>
      </c>
      <c r="F31" s="15" t="s">
        <v>69</v>
      </c>
    </row>
    <row r="32" spans="1:6" x14ac:dyDescent="0.2">
      <c r="A32" s="17">
        <v>31</v>
      </c>
      <c r="B32" s="17" t="s">
        <v>21</v>
      </c>
      <c r="C32" s="18" t="s">
        <v>76</v>
      </c>
      <c r="D32" s="17" t="s">
        <v>8</v>
      </c>
      <c r="E32" s="18" t="s">
        <v>77</v>
      </c>
      <c r="F32" s="19" t="s">
        <v>78</v>
      </c>
    </row>
    <row r="33" spans="1:6" ht="28" x14ac:dyDescent="0.2">
      <c r="A33" s="17">
        <v>32</v>
      </c>
      <c r="B33" s="17" t="s">
        <v>21</v>
      </c>
      <c r="C33" s="18" t="s">
        <v>79</v>
      </c>
      <c r="D33" s="17" t="s">
        <v>8</v>
      </c>
      <c r="E33" s="18" t="s">
        <v>80</v>
      </c>
      <c r="F33" s="19" t="s">
        <v>78</v>
      </c>
    </row>
    <row r="34" spans="1:6" x14ac:dyDescent="0.2">
      <c r="A34" s="17">
        <v>33</v>
      </c>
      <c r="B34" s="17" t="s">
        <v>21</v>
      </c>
      <c r="C34" s="18" t="s">
        <v>81</v>
      </c>
      <c r="D34" s="17" t="s">
        <v>8</v>
      </c>
      <c r="E34" s="18" t="s">
        <v>82</v>
      </c>
      <c r="F34" s="19" t="s">
        <v>78</v>
      </c>
    </row>
    <row r="35" spans="1:6" ht="28" x14ac:dyDescent="0.2">
      <c r="A35" s="17">
        <v>34</v>
      </c>
      <c r="B35" s="17" t="s">
        <v>21</v>
      </c>
      <c r="C35" s="18" t="s">
        <v>83</v>
      </c>
      <c r="D35" s="17" t="s">
        <v>8</v>
      </c>
      <c r="E35" s="18" t="s">
        <v>84</v>
      </c>
      <c r="F35" s="19" t="s">
        <v>78</v>
      </c>
    </row>
    <row r="36" spans="1:6" ht="28" x14ac:dyDescent="0.2">
      <c r="A36" s="17">
        <v>35</v>
      </c>
      <c r="B36" s="17" t="s">
        <v>21</v>
      </c>
      <c r="C36" s="20" t="s">
        <v>85</v>
      </c>
      <c r="D36" s="17" t="s">
        <v>15</v>
      </c>
      <c r="E36" s="18" t="s">
        <v>86</v>
      </c>
      <c r="F36" s="19" t="s">
        <v>78</v>
      </c>
    </row>
    <row r="37" spans="1:6" x14ac:dyDescent="0.2">
      <c r="A37" s="21">
        <v>36</v>
      </c>
      <c r="B37" s="21" t="s">
        <v>30</v>
      </c>
      <c r="C37" s="22" t="s">
        <v>87</v>
      </c>
      <c r="D37" s="21" t="s">
        <v>8</v>
      </c>
      <c r="E37" s="22" t="s">
        <v>88</v>
      </c>
      <c r="F37" s="23" t="s">
        <v>89</v>
      </c>
    </row>
    <row r="38" spans="1:6" x14ac:dyDescent="0.2">
      <c r="A38" s="21">
        <v>37</v>
      </c>
      <c r="B38" s="21" t="s">
        <v>30</v>
      </c>
      <c r="C38" s="24" t="s">
        <v>90</v>
      </c>
      <c r="D38" s="21" t="s">
        <v>15</v>
      </c>
      <c r="E38" s="22" t="s">
        <v>91</v>
      </c>
      <c r="F38" s="23" t="s">
        <v>89</v>
      </c>
    </row>
    <row r="39" spans="1:6" x14ac:dyDescent="0.2">
      <c r="A39" s="21">
        <v>38</v>
      </c>
      <c r="B39" s="21" t="s">
        <v>21</v>
      </c>
      <c r="C39" s="22" t="s">
        <v>92</v>
      </c>
      <c r="D39" s="21" t="s">
        <v>8</v>
      </c>
      <c r="E39" s="22" t="s">
        <v>93</v>
      </c>
      <c r="F39" s="23" t="s">
        <v>89</v>
      </c>
    </row>
    <row r="40" spans="1:6" x14ac:dyDescent="0.2">
      <c r="A40" s="21">
        <v>39</v>
      </c>
      <c r="B40" s="21" t="s">
        <v>21</v>
      </c>
      <c r="C40" s="24" t="s">
        <v>94</v>
      </c>
      <c r="D40" s="21" t="s">
        <v>15</v>
      </c>
      <c r="E40" s="22" t="s">
        <v>95</v>
      </c>
      <c r="F40" s="23" t="s">
        <v>89</v>
      </c>
    </row>
    <row r="41" spans="1:6" x14ac:dyDescent="0.2">
      <c r="A41" s="21">
        <v>40</v>
      </c>
      <c r="B41" s="21" t="s">
        <v>30</v>
      </c>
      <c r="C41" s="24" t="s">
        <v>96</v>
      </c>
      <c r="D41" s="21" t="s">
        <v>15</v>
      </c>
      <c r="E41" s="22" t="s">
        <v>97</v>
      </c>
      <c r="F41" s="23" t="s">
        <v>89</v>
      </c>
    </row>
    <row r="42" spans="1:6" x14ac:dyDescent="0.2">
      <c r="A42" s="21">
        <v>41</v>
      </c>
      <c r="B42" s="21" t="s">
        <v>13</v>
      </c>
      <c r="C42" s="24" t="s">
        <v>98</v>
      </c>
      <c r="D42" s="21" t="s">
        <v>15</v>
      </c>
      <c r="E42" s="22" t="s">
        <v>99</v>
      </c>
      <c r="F42" s="23" t="s">
        <v>89</v>
      </c>
    </row>
    <row r="43" spans="1:6" x14ac:dyDescent="0.2">
      <c r="A43" s="21">
        <v>42</v>
      </c>
      <c r="B43" s="21" t="s">
        <v>21</v>
      </c>
      <c r="C43" s="24" t="s">
        <v>100</v>
      </c>
      <c r="D43" s="21" t="s">
        <v>15</v>
      </c>
      <c r="E43" s="22" t="s">
        <v>101</v>
      </c>
      <c r="F43" s="23" t="s">
        <v>89</v>
      </c>
    </row>
  </sheetData>
  <autoFilter ref="A1:F43" xr:uid="{00000000-0009-0000-0000-000000000000}"/>
  <dataValidations count="3">
    <dataValidation type="list" allowBlank="1" sqref="F2:F200" xr:uid="{00000000-0002-0000-0000-000000000000}">
      <formula1>"T1,T2,T3,T4,T5,Isolato"</formula1>
      <formula2>0</formula2>
    </dataValidation>
    <dataValidation type="list" allowBlank="1" sqref="B2:B200" xr:uid="{00000000-0002-0000-0000-000001000000}">
      <formula1>"P1,P2,P3,P4,P5"</formula1>
      <formula2>0</formula2>
    </dataValidation>
    <dataValidation type="list" allowBlank="1" sqref="D2:D200" xr:uid="{00000000-0002-0000-0000-000002000000}">
      <formula1>"trascrizione,appunti"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 x14ac:dyDescent="0.2"/>
  <cols>
    <col min="1" max="1" width="10" customWidth="1"/>
    <col min="2" max="2" width="70" customWidth="1"/>
    <col min="3" max="3" width="11" customWidth="1"/>
    <col min="4" max="7" width="6" customWidth="1"/>
    <col min="8" max="8" width="15" customWidth="1"/>
  </cols>
  <sheetData>
    <row r="1" spans="1:8" x14ac:dyDescent="0.2">
      <c r="A1" s="1" t="s">
        <v>5</v>
      </c>
      <c r="B1" s="1" t="s">
        <v>102</v>
      </c>
      <c r="C1" s="1" t="s">
        <v>103</v>
      </c>
      <c r="D1" s="1" t="s">
        <v>6</v>
      </c>
      <c r="E1" s="1" t="s">
        <v>13</v>
      </c>
      <c r="F1" s="1" t="s">
        <v>30</v>
      </c>
      <c r="G1" s="1" t="s">
        <v>21</v>
      </c>
      <c r="H1" s="1" t="s">
        <v>104</v>
      </c>
    </row>
    <row r="2" spans="1:8" x14ac:dyDescent="0.2">
      <c r="A2" s="4" t="s">
        <v>10</v>
      </c>
      <c r="B2" s="3" t="s">
        <v>105</v>
      </c>
      <c r="C2" s="2">
        <f>COUNTIF(Codifica!$F$2:$F$200,A2)</f>
        <v>11</v>
      </c>
      <c r="D2" s="2" t="str">
        <f>IF(COUNTIFS(Codifica!$F$2:$F$200,$A2,Codifica!$B$2:$B$200,D$1)&gt;0,"✓","")</f>
        <v>✓</v>
      </c>
      <c r="E2" s="2" t="str">
        <f>IF(COUNTIFS(Codifica!$F$2:$F$200,$A2,Codifica!$B$2:$B$200,E$1)&gt;0,"✓","")</f>
        <v>✓</v>
      </c>
      <c r="F2" s="2" t="str">
        <f>IF(COUNTIFS(Codifica!$F$2:$F$200,$A2,Codifica!$B$2:$B$200,F$1)&gt;0,"✓","")</f>
        <v>✓</v>
      </c>
      <c r="G2" s="2" t="str">
        <f>IF(COUNTIFS(Codifica!$F$2:$F$200,$A2,Codifica!$B$2:$B$200,G$1)&gt;0,"✓","")</f>
        <v>✓</v>
      </c>
      <c r="H2" s="2">
        <f t="shared" ref="H2:H7" si="0">COUNTIF(D2:G2,"✓")</f>
        <v>4</v>
      </c>
    </row>
    <row r="3" spans="1:8" x14ac:dyDescent="0.2">
      <c r="A3" s="8" t="s">
        <v>37</v>
      </c>
      <c r="B3" s="7" t="s">
        <v>106</v>
      </c>
      <c r="C3" s="6">
        <f>COUNTIF(Codifica!$F$2:$F$200,A3)</f>
        <v>8</v>
      </c>
      <c r="D3" s="6" t="str">
        <f>IF(COUNTIFS(Codifica!$F$2:$F$200,$A3,Codifica!$B$2:$B$200,D$1)&gt;0,"✓","")</f>
        <v>✓</v>
      </c>
      <c r="E3" s="6" t="str">
        <f>IF(COUNTIFS(Codifica!$F$2:$F$200,$A3,Codifica!$B$2:$B$200,E$1)&gt;0,"✓","")</f>
        <v>✓</v>
      </c>
      <c r="F3" s="6" t="str">
        <f>IF(COUNTIFS(Codifica!$F$2:$F$200,$A3,Codifica!$B$2:$B$200,F$1)&gt;0,"✓","")</f>
        <v>✓</v>
      </c>
      <c r="G3" s="6" t="str">
        <f>IF(COUNTIFS(Codifica!$F$2:$F$200,$A3,Codifica!$B$2:$B$200,G$1)&gt;0,"✓","")</f>
        <v>✓</v>
      </c>
      <c r="H3" s="6">
        <f t="shared" si="0"/>
        <v>4</v>
      </c>
    </row>
    <row r="4" spans="1:8" x14ac:dyDescent="0.2">
      <c r="A4" s="12" t="s">
        <v>54</v>
      </c>
      <c r="B4" s="11" t="s">
        <v>107</v>
      </c>
      <c r="C4" s="10">
        <f>COUNTIF(Codifica!$F$2:$F$200,A4)</f>
        <v>7</v>
      </c>
      <c r="D4" s="10" t="str">
        <f>IF(COUNTIFS(Codifica!$F$2:$F$200,$A4,Codifica!$B$2:$B$200,D$1)&gt;0,"✓","")</f>
        <v>✓</v>
      </c>
      <c r="E4" s="10" t="str">
        <f>IF(COUNTIFS(Codifica!$F$2:$F$200,$A4,Codifica!$B$2:$B$200,E$1)&gt;0,"✓","")</f>
        <v/>
      </c>
      <c r="F4" s="10" t="str">
        <f>IF(COUNTIFS(Codifica!$F$2:$F$200,$A4,Codifica!$B$2:$B$200,F$1)&gt;0,"✓","")</f>
        <v>✓</v>
      </c>
      <c r="G4" s="10" t="str">
        <f>IF(COUNTIFS(Codifica!$F$2:$F$200,$A4,Codifica!$B$2:$B$200,G$1)&gt;0,"✓","")</f>
        <v>✓</v>
      </c>
      <c r="H4" s="10">
        <f t="shared" si="0"/>
        <v>3</v>
      </c>
    </row>
    <row r="5" spans="1:8" x14ac:dyDescent="0.2">
      <c r="A5" s="15" t="s">
        <v>69</v>
      </c>
      <c r="B5" s="14" t="s">
        <v>108</v>
      </c>
      <c r="C5" s="13">
        <f>COUNTIF(Codifica!$F$2:$F$200,A5)</f>
        <v>4</v>
      </c>
      <c r="D5" s="13" t="str">
        <f>IF(COUNTIFS(Codifica!$F$2:$F$200,$A5,Codifica!$B$2:$B$200,D$1)&gt;0,"✓","")</f>
        <v/>
      </c>
      <c r="E5" s="13" t="str">
        <f>IF(COUNTIFS(Codifica!$F$2:$F$200,$A5,Codifica!$B$2:$B$200,E$1)&gt;0,"✓","")</f>
        <v/>
      </c>
      <c r="F5" s="13" t="str">
        <f>IF(COUNTIFS(Codifica!$F$2:$F$200,$A5,Codifica!$B$2:$B$200,F$1)&gt;0,"✓","")</f>
        <v>✓</v>
      </c>
      <c r="G5" s="13" t="str">
        <f>IF(COUNTIFS(Codifica!$F$2:$F$200,$A5,Codifica!$B$2:$B$200,G$1)&gt;0,"✓","")</f>
        <v>✓</v>
      </c>
      <c r="H5" s="13">
        <f t="shared" si="0"/>
        <v>2</v>
      </c>
    </row>
    <row r="6" spans="1:8" x14ac:dyDescent="0.2">
      <c r="A6" s="19" t="s">
        <v>78</v>
      </c>
      <c r="B6" s="18" t="s">
        <v>109</v>
      </c>
      <c r="C6" s="17">
        <f>COUNTIF(Codifica!$F$2:$F$200,A6)</f>
        <v>5</v>
      </c>
      <c r="D6" s="17" t="str">
        <f>IF(COUNTIFS(Codifica!$F$2:$F$200,$A6,Codifica!$B$2:$B$200,D$1)&gt;0,"✓","")</f>
        <v/>
      </c>
      <c r="E6" s="17" t="str">
        <f>IF(COUNTIFS(Codifica!$F$2:$F$200,$A6,Codifica!$B$2:$B$200,E$1)&gt;0,"✓","")</f>
        <v/>
      </c>
      <c r="F6" s="17" t="str">
        <f>IF(COUNTIFS(Codifica!$F$2:$F$200,$A6,Codifica!$B$2:$B$200,F$1)&gt;0,"✓","")</f>
        <v/>
      </c>
      <c r="G6" s="17" t="str">
        <f>IF(COUNTIFS(Codifica!$F$2:$F$200,$A6,Codifica!$B$2:$B$200,G$1)&gt;0,"✓","")</f>
        <v>✓</v>
      </c>
      <c r="H6" s="17">
        <f t="shared" si="0"/>
        <v>1</v>
      </c>
    </row>
    <row r="7" spans="1:8" x14ac:dyDescent="0.2">
      <c r="A7" s="23" t="s">
        <v>89</v>
      </c>
      <c r="B7" s="22" t="s">
        <v>110</v>
      </c>
      <c r="C7" s="21">
        <f>COUNTIF(Codifica!$F$2:$F$200,A7)</f>
        <v>7</v>
      </c>
      <c r="D7" s="21" t="str">
        <f>IF(COUNTIFS(Codifica!$F$2:$F$200,$A7,Codifica!$B$2:$B$200,D$1)&gt;0,"✓","")</f>
        <v/>
      </c>
      <c r="E7" s="21" t="str">
        <f>IF(COUNTIFS(Codifica!$F$2:$F$200,$A7,Codifica!$B$2:$B$200,E$1)&gt;0,"✓","")</f>
        <v>✓</v>
      </c>
      <c r="F7" s="21" t="str">
        <f>IF(COUNTIFS(Codifica!$F$2:$F$200,$A7,Codifica!$B$2:$B$200,F$1)&gt;0,"✓","")</f>
        <v>✓</v>
      </c>
      <c r="G7" s="21" t="str">
        <f>IF(COUNTIFS(Codifica!$F$2:$F$200,$A7,Codifica!$B$2:$B$200,G$1)&gt;0,"✓","")</f>
        <v>✓</v>
      </c>
      <c r="H7" s="21">
        <f t="shared" si="0"/>
        <v>3</v>
      </c>
    </row>
    <row r="8" spans="1:8" x14ac:dyDescent="0.2">
      <c r="A8" s="25" t="s">
        <v>111</v>
      </c>
      <c r="B8" s="26"/>
      <c r="C8" s="25">
        <f>SUM(C2:C7)</f>
        <v>42</v>
      </c>
      <c r="D8" s="25"/>
      <c r="E8" s="25"/>
      <c r="F8" s="25"/>
      <c r="G8" s="25"/>
      <c r="H8" s="25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zoomScaleNormal="100" workbookViewId="0"/>
  </sheetViews>
  <sheetFormatPr baseColWidth="10" defaultColWidth="8.6640625" defaultRowHeight="15" x14ac:dyDescent="0.2"/>
  <cols>
    <col min="1" max="1" width="8" customWidth="1"/>
    <col min="2" max="2" width="60" customWidth="1"/>
    <col min="3" max="3" width="20" customWidth="1"/>
    <col min="4" max="4" width="55" customWidth="1"/>
  </cols>
  <sheetData>
    <row r="1" spans="1:4" x14ac:dyDescent="0.2">
      <c r="A1" s="1" t="s">
        <v>112</v>
      </c>
      <c r="B1" s="1" t="s">
        <v>113</v>
      </c>
      <c r="C1" s="1" t="s">
        <v>114</v>
      </c>
      <c r="D1" s="1" t="s">
        <v>115</v>
      </c>
    </row>
    <row r="2" spans="1:4" x14ac:dyDescent="0.2">
      <c r="A2" s="25" t="s">
        <v>6</v>
      </c>
      <c r="B2" s="27" t="s">
        <v>116</v>
      </c>
      <c r="C2" s="28" t="s">
        <v>117</v>
      </c>
      <c r="D2" s="27" t="s">
        <v>118</v>
      </c>
    </row>
    <row r="3" spans="1:4" x14ac:dyDescent="0.2">
      <c r="A3" s="25" t="s">
        <v>13</v>
      </c>
      <c r="B3" s="27" t="s">
        <v>119</v>
      </c>
      <c r="C3" s="28" t="s">
        <v>120</v>
      </c>
      <c r="D3" s="27" t="s">
        <v>121</v>
      </c>
    </row>
    <row r="4" spans="1:4" x14ac:dyDescent="0.2">
      <c r="A4" s="25" t="s">
        <v>30</v>
      </c>
      <c r="B4" s="27" t="s">
        <v>122</v>
      </c>
      <c r="C4" s="28" t="s">
        <v>123</v>
      </c>
      <c r="D4" s="27" t="s">
        <v>118</v>
      </c>
    </row>
    <row r="5" spans="1:4" x14ac:dyDescent="0.2">
      <c r="A5" s="25" t="s">
        <v>21</v>
      </c>
      <c r="B5" s="27" t="s">
        <v>124</v>
      </c>
      <c r="C5" s="28" t="s">
        <v>125</v>
      </c>
      <c r="D5" s="27" t="s">
        <v>118</v>
      </c>
    </row>
    <row r="6" spans="1:4" x14ac:dyDescent="0.2">
      <c r="A6" s="25" t="s">
        <v>126</v>
      </c>
      <c r="B6" s="27" t="s">
        <v>127</v>
      </c>
      <c r="C6" s="28" t="s">
        <v>128</v>
      </c>
      <c r="D6" s="27" t="s">
        <v>129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9"/>
  <sheetViews>
    <sheetView tabSelected="1" zoomScaleNormal="100" workbookViewId="0">
      <selection activeCell="A16" sqref="A16"/>
    </sheetView>
  </sheetViews>
  <sheetFormatPr baseColWidth="10" defaultColWidth="8.6640625" defaultRowHeight="15" x14ac:dyDescent="0.2"/>
  <cols>
    <col min="1" max="1" width="110" customWidth="1"/>
  </cols>
  <sheetData>
    <row r="1" spans="1:1" ht="17" x14ac:dyDescent="0.2">
      <c r="A1" s="29" t="s">
        <v>130</v>
      </c>
    </row>
    <row r="2" spans="1:1" x14ac:dyDescent="0.2">
      <c r="A2" s="30" t="s">
        <v>131</v>
      </c>
    </row>
    <row r="3" spans="1:1" ht="28" x14ac:dyDescent="0.2">
      <c r="A3" s="30" t="s">
        <v>132</v>
      </c>
    </row>
    <row r="4" spans="1:1" x14ac:dyDescent="0.2">
      <c r="A4" s="31" t="s">
        <v>138</v>
      </c>
    </row>
    <row r="5" spans="1:1" x14ac:dyDescent="0.2">
      <c r="A5" s="30" t="s">
        <v>133</v>
      </c>
    </row>
    <row r="6" spans="1:1" x14ac:dyDescent="0.2">
      <c r="A6" s="30" t="s">
        <v>134</v>
      </c>
    </row>
    <row r="7" spans="1:1" x14ac:dyDescent="0.2">
      <c r="A7" s="30" t="s">
        <v>135</v>
      </c>
    </row>
    <row r="8" spans="1:1" x14ac:dyDescent="0.2">
      <c r="A8" s="30" t="s">
        <v>136</v>
      </c>
    </row>
    <row r="9" spans="1:1" x14ac:dyDescent="0.2">
      <c r="A9" s="30" t="s">
        <v>137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Codifica</vt:lpstr>
      <vt:lpstr>Temi</vt:lpstr>
      <vt:lpstr>Partecipanti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Antonio Georgiev</cp:lastModifiedBy>
  <cp:revision>0</cp:revision>
  <dcterms:created xsi:type="dcterms:W3CDTF">2026-10-12T18:59:37Z</dcterms:created>
  <dcterms:modified xsi:type="dcterms:W3CDTF">2026-10-12T19:46:01Z</dcterms:modified>
  <dc:language>en-US</dc:language>
</cp:coreProperties>
</file>