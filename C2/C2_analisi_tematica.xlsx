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ifica" sheetId="1" state="visible" r:id="rId3"/>
    <sheet name="Temi" sheetId="2" state="visible" r:id="rId4"/>
    <sheet name="Partecipanti" sheetId="3" state="visible" r:id="rId5"/>
    <sheet name="Note" sheetId="4" state="visible" r:id="rId6"/>
  </sheets>
  <definedNames>
    <definedName function="false" hidden="true" localSheetId="0" name="_xlnm._FilterDatabase" vbProcedure="false">Codifica!$A$1:$G$92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<sst xmlns="http://schemas.openxmlformats.org/spreadsheetml/2006/main" count="638" uniqueCount="257">
  <si>
    <t xml:space="preserve">#</t>
  </si>
  <si>
    <t xml:space="preserve">Partecipante</t>
  </si>
  <si>
    <t xml:space="preserve">Round</t>
  </si>
  <si>
    <t xml:space="preserve">Estratto</t>
  </si>
  <si>
    <t xml:space="preserve">Tipo di estratto</t>
  </si>
  <si>
    <t xml:space="preserve">Codice</t>
  </si>
  <si>
    <t xml:space="preserve">Tema</t>
  </si>
  <si>
    <t xml:space="preserve">P1</t>
  </si>
  <si>
    <t xml:space="preserve">C1</t>
  </si>
  <si>
    <t xml:space="preserve">«Mi posiziono sempre, per l'andata, in testa […] trovo sempre il posto libero»</t>
  </si>
  <si>
    <t xml:space="preserve">trascrizione</t>
  </si>
  <si>
    <t xml:space="preserve">Sale in testa per trovare posto</t>
  </si>
  <si>
    <t xml:space="preserve">T1</t>
  </si>
  <si>
    <t xml:space="preserve">«Ho una porta e so che […] arrivo giusto dove ci sono le scale per andare al Politecnico»</t>
  </si>
  <si>
    <t xml:space="preserve">Sceglie la porta in base all'uscita</t>
  </si>
  <si>
    <t xml:space="preserve">P2</t>
  </si>
  <si>
    <t xml:space="preserve">Si mette in testa o in coda al treno perché c'è meno gente</t>
  </si>
  <si>
    <t xml:space="preserve">appunti</t>
  </si>
  <si>
    <t xml:space="preserve">Sale in testa/coda per trovare posto</t>
  </si>
  <si>
    <t xml:space="preserve">Nei primi vagoni, vicino ai controllori, c'è meno gente</t>
  </si>
  <si>
    <t xml:space="preserve">Conosce i vagoni meno pieni</t>
  </si>
  <si>
    <t xml:space="preserve">L'affollamento dipende da giorni e orari (domenica, rientro serale)</t>
  </si>
  <si>
    <t xml:space="preserve">Conosce i picchi per giorno e orario</t>
  </si>
  <si>
    <t xml:space="preserve">P4</t>
  </si>
  <si>
    <t xml:space="preserve">«il piano in alto della prima o dell'ultima vettura che nessuno sa che esiste»</t>
  </si>
  <si>
    <t xml:space="preserve">Piano alto delle carrozze di testa/coda</t>
  </si>
  <si>
    <t xml:space="preserve">«dove mettermi sul marciapiede per salire già giusto per sedermi»</t>
  </si>
  <si>
    <t xml:space="preserve">Sceglie il punto della banchina</t>
  </si>
  <si>
    <t xml:space="preserve">«No, non consulto niente […] alla fine non è che variano»</t>
  </si>
  <si>
    <t xml:space="preserve">Non usa app</t>
  </si>
  <si>
    <t xml:space="preserve">Usa Google per l'affollamento ma non lo ritiene affidabile</t>
  </si>
  <si>
    <t xml:space="preserve">Non si fida dei dati disponibili</t>
  </si>
  <si>
    <t xml:space="preserve">P3</t>
  </si>
  <si>
    <t xml:space="preserve">«non so neanche se esistono […] dopo tre anni […] ti raccogli»</t>
  </si>
  <si>
    <t xml:space="preserve">Si affida all'esperienza</t>
  </si>
  <si>
    <t xml:space="preserve">«Non funziona sull'applicazione di Trenord»</t>
  </si>
  <si>
    <t xml:space="preserve">App Trenord inutilizzabile per l'affollamento</t>
  </si>
  <si>
    <t xml:space="preserve">«Calcolo in base di solito all'ora d'arrivo in aula»</t>
  </si>
  <si>
    <t xml:space="preserve">Treno scelto in base agli impegni</t>
  </si>
  <si>
    <t xml:space="preserve">T2</t>
  </si>
  <si>
    <t xml:space="preserve">«[Cambiato treno per evitare la folla?] No, mai capitato»</t>
  </si>
  <si>
    <t xml:space="preserve">Non cambia treno per la folla</t>
  </si>
  <si>
    <t xml:space="preserve">Gli orari non le permettevano cambiamenti; potendo, avrebbe preso l'auto</t>
  </si>
  <si>
    <t xml:space="preserve">Nessuna flessibilità; alternativa = auto</t>
  </si>
  <si>
    <t xml:space="preserve">«treno saltato per l'affollamento no perché […] i treni proprio fisicamente passano uno all'ora»</t>
  </si>
  <si>
    <t xml:space="preserve">Bassa frequenza: il treno non si salta</t>
  </si>
  <si>
    <t xml:space="preserve">«Con la metro capita spesso […] di aspettare la metro successiva»</t>
  </si>
  <si>
    <t xml:space="preserve">Con la metro aspetta la successiva</t>
  </si>
  <si>
    <t xml:space="preserve">«Lo troverei più utile per la metro»</t>
  </si>
  <si>
    <t xml:space="preserve">Info utile dove c'è alternativa</t>
  </si>
  <si>
    <t xml:space="preserve">«evito […] un altro treno che so essere critico […] prendo quello prima»</t>
  </si>
  <si>
    <t xml:space="preserve">Anticipa il treno critico</t>
  </si>
  <si>
    <t xml:space="preserve">«se mi capita una volta […] Certo, se tutte le mattine dovessi prendere quello, no»</t>
  </si>
  <si>
    <t xml:space="preserve">Tollera la folla se occasionale</t>
  </si>
  <si>
    <t xml:space="preserve">«Affollamento, secondo me, neanche troppo […] sulla questione ritardi è più importante»</t>
  </si>
  <si>
    <t xml:space="preserve">Ritardi più importanti della folla</t>
  </si>
  <si>
    <t xml:space="preserve">T3</t>
  </si>
  <si>
    <t xml:space="preserve">«aspettando quello del 12:47 che non è arrivato e ho dovuto aspettare mezz'ora»</t>
  </si>
  <si>
    <t xml:space="preserve">Corse cancellate</t>
  </si>
  <si>
    <t xml:space="preserve">«dovrebbero essere 40-50 minuti, ma finiscono sempre a essere almeno un'ora»</t>
  </si>
  <si>
    <t xml:space="preserve">Tempi di viaggio sempre superiori</t>
  </si>
  <si>
    <t xml:space="preserve">«1 ora e 35 di viaggio totali dei 40 che dovevano essere»</t>
  </si>
  <si>
    <t xml:space="preserve">Ritardi accumulati per precedenze</t>
  </si>
  <si>
    <t xml:space="preserve">«7.04 […] è puntualmente in ritardo […] la stazione è congestionatissima»</t>
  </si>
  <si>
    <t xml:space="preserve">Il ritardo somma i passeggeri di due treni</t>
  </si>
  <si>
    <t xml:space="preserve">«se c'è uno sciopero […] Cadorna si riempie subito»</t>
  </si>
  <si>
    <t xml:space="preserve">I disservizi generano folla</t>
  </si>
  <si>
    <t xml:space="preserve">«ho trovato un posto a sedere e che era puntuale»</t>
  </si>
  <si>
    <t xml:space="preserve">Viaggio buono = posto + puntualità</t>
  </si>
  <si>
    <t xml:space="preserve">«durante il Covid l'applicazione di Trenord forniva l'affollamento […] solo basato sulle report da parte degli utenti»</t>
  </si>
  <si>
    <t xml:space="preserve">App basata solo su segnalazioni</t>
  </si>
  <si>
    <t xml:space="preserve">T4</t>
  </si>
  <si>
    <t xml:space="preserve">I treni hanno i people counter sulle porte, ma i dati non vengono mostrati</t>
  </si>
  <si>
    <t xml:space="preserve">Sensori presenti, dati non usati</t>
  </si>
  <si>
    <t xml:space="preserve">«sono sempre molto restie le aziende a rilasciare ste cose»</t>
  </si>
  <si>
    <t xml:space="preserve">Barriere burocratiche sui dati</t>
  </si>
  <si>
    <t xml:space="preserve">«non so neanche se esistono»</t>
  </si>
  <si>
    <t xml:space="preserve">L'informazione non raggiunge l'utente</t>
  </si>
  <si>
    <t xml:space="preserve">«Se deve star lì ad aprire l'applicazione, cercarsi il treno… non lo fa»</t>
  </si>
  <si>
    <t xml:space="preserve">L'app è un passaggio in più</t>
  </si>
  <si>
    <t xml:space="preserve">T5</t>
  </si>
  <si>
    <t xml:space="preserve">«la gente non si rende conto che se si trova in una sezione piena del treno, un'altra sezione potrebbe essere vuota»</t>
  </si>
  <si>
    <t xml:space="preserve">Non si sa che altre carrozze sono vuote</t>
  </si>
  <si>
    <t xml:space="preserve">«sui monitor di bordo, una infografica che ti mostra l'affollamento delle vetture»</t>
  </si>
  <si>
    <t xml:space="preserve">Affollamento sui monitor di bordo (UK, Svizzera)</t>
  </si>
  <si>
    <t xml:space="preserve">«si trovano tutti un po' al centro, tranne […] nelle stazioni di testa dove salgono tutti prevalentemente in coda»</t>
  </si>
  <si>
    <t xml:space="preserve">Distribuzione non uniforme lungo il treno</t>
  </si>
  <si>
    <t xml:space="preserve">A Centrale la security Trenord fa attendere tutti in testa al marciapiede finché il treno si svuota</t>
  </si>
  <si>
    <t xml:space="preserve">Gestione della folla in banchina</t>
  </si>
  <si>
    <t xml:space="preserve">«80 persone […] dicono "prendo quello dopo" […] alla fine il problema permane»</t>
  </si>
  <si>
    <t xml:space="preserve">Rischio: la folla si sposta e basta</t>
  </si>
  <si>
    <t xml:space="preserve">Isolato</t>
  </si>
  <si>
    <t xml:space="preserve">Il riempimento dei vagoni dipende anche da chi c'è a bordo</t>
  </si>
  <si>
    <t xml:space="preserve">Scelta del vagone influenzata dagli occupanti</t>
  </si>
  <si>
    <t xml:space="preserve">«un guasto al treno porterebbe a una crisi […] nell'ordine dei 5-10 minuti»</t>
  </si>
  <si>
    <t xml:space="preserve">Sicurezza a rischio con treno pieno</t>
  </si>
  <si>
    <t xml:space="preserve">In divisa riceve domande dai viaggiatori a cui non sa rispondere</t>
  </si>
  <si>
    <t xml:space="preserve">Personale non formato per informare</t>
  </si>
  <si>
    <t xml:space="preserve">Pochi spazi per valigie grandi, da tenere vicino e a vista</t>
  </si>
  <si>
    <t xml:space="preserve">Spazio bagagli insufficiente</t>
  </si>
  <si>
    <t xml:space="preserve">Molte bici a bordo aumentano l'affollamento</t>
  </si>
  <si>
    <t xml:space="preserve">Bici a bordo</t>
  </si>
  <si>
    <t xml:space="preserve">Riferisce di una persona in carrozzina bloccata dagli ascensori guasti a Malnate</t>
  </si>
  <si>
    <t xml:space="preserve">Ascensori guasti (riferito, non diretto)</t>
  </si>
  <si>
    <t xml:space="preserve">C2</t>
  </si>
  <si>
    <t xml:space="preserve">«io non mi pongo il problema di affollamento e appena salirò sul treno vedrò quanti posti effettivi ci sono disponibili. Massimo rimarrò in piedi»</t>
  </si>
  <si>
    <t xml:space="preserve">Valuta la folla solo una volta salito</t>
  </si>
  <si>
    <t xml:space="preserve">«principalmente mi affiderei sui dati storici»</t>
  </si>
  <si>
    <t xml:space="preserve">Si affida ai dati storici</t>
  </si>
  <si>
    <t xml:space="preserve">T9</t>
  </si>
  <si>
    <t xml:space="preserve">«Se per caso un Laveno dovesse fare un ritardo […] la gente […] salirebbe sul Varese Nord e perciò l'affollamento cambierebbe»</t>
  </si>
  <si>
    <t xml:space="preserve">Il ritardo di un treno sposta la folla sul successivo</t>
  </si>
  <si>
    <t xml:space="preserve">«io in realtà prendo la prima metro disponibile […] trovo comunque un piccolo spazietto per salirci»</t>
  </si>
  <si>
    <t xml:space="preserve">Metro: sale sulla prima comunque</t>
  </si>
  <si>
    <t xml:space="preserve">«per la metro […] testa e coda rimangono […] meno affollati rispetto al centro proprio perché […] risultano scomodi all'uscita»</t>
  </si>
  <si>
    <t xml:space="preserve">Metro: testa e coda meno piene</t>
  </si>
  <si>
    <t xml:space="preserve">«[sul treno] una distribuzione abbastanza omogenea […] alcune stazioni conviene prendere la coda […] altre invece la testa»</t>
  </si>
  <si>
    <t xml:space="preserve">Treno: folla distribuita in base alle uscite</t>
  </si>
  <si>
    <t xml:space="preserve">«non sono troppo favorevole al fatto che comunque il mio volto sia tracciato e magari i dati passano […] tramite calcolatori che non sono in Italia»</t>
  </si>
  <si>
    <t xml:space="preserve">Contrario al tracciamento del volto e ai dati all'estero</t>
  </si>
  <si>
    <t xml:space="preserve">T7</t>
  </si>
  <si>
    <t xml:space="preserve">«forse quella dell'affollamento è la migliore, però […] penso che non utilizzerei comunque nessun servizio relativo […] all'affollamento»</t>
  </si>
  <si>
    <t xml:space="preserve">Non userebbe un servizio sull'affollamento</t>
  </si>
  <si>
    <t xml:space="preserve">«prendevo il treno prima […] Col tempo però […] ho deciso di prendere quello […] successivo»</t>
  </si>
  <si>
    <t xml:space="preserve">Sceglie il treno che lo fa arrivare giusto</t>
  </si>
  <si>
    <t xml:space="preserve">«le opzioni che io di solito adotto è aspettare il treno dopo»</t>
  </si>
  <si>
    <t xml:space="preserve">Con un imprevisto aspetta il treno dopo</t>
  </si>
  <si>
    <t xml:space="preserve">T6</t>
  </si>
  <si>
    <t xml:space="preserve">«[guasto alla linea] mi sono fatto portare a Saronno e da lì partivano tutti i treni regolarmente»</t>
  </si>
  <si>
    <t xml:space="preserve">Con un guasto trova da solo un'alternativa</t>
  </si>
  <si>
    <t xml:space="preserve">«Mentre vado in stazione»</t>
  </si>
  <si>
    <t xml:space="preserve">risposta scritta</t>
  </si>
  <si>
    <t xml:space="preserve">Pensa alla folla mentre va in stazione</t>
  </si>
  <si>
    <t xml:space="preserve">«Dati storici»</t>
  </si>
  <si>
    <t xml:space="preserve">«Guardo quante persone ci sono ad aspettare ma tendo a prendere il primo che arriva, poi se non riesco nemmeno a salirci aspetto quello dopo»</t>
  </si>
  <si>
    <t xml:space="preserve">Metro: sale sulla prima, aspetta solo se non entra</t>
  </si>
  <si>
    <t xml:space="preserve">«mi è capitato di trovare un vagone molto vuoto […] tendo ad andare in testa o in coda alla metro quando c'è tanta gente nel mezzo»</t>
  </si>
  <si>
    <t xml:space="preserve">«Le banchine invece sono sempre più o meno uguali quando è molto affollato»</t>
  </si>
  <si>
    <t xml:space="preserve">In banchina la folla è uniforme</t>
  </si>
  <si>
    <t xml:space="preserve">«Dato che l'IA userebbe telecamere che già sono presenti sui treni, non vedo come potrebbe cambiare la tutela della privacy»</t>
  </si>
  <si>
    <t xml:space="preserve">Telecamere già presenti: nessun problema di privacy</t>
  </si>
  <si>
    <t xml:space="preserve">«mettere telecamere visionate dall'IA solo su alcune carrozze […] ci sarebbero comunque vagoni "IA free"»</t>
  </si>
  <si>
    <t xml:space="preserve">Propone carrozze senza IA</t>
  </si>
  <si>
    <t xml:space="preserve">«No non mi è mai capitato di preferire un treno più presto/tardi solo per trovare posto a sedere. Mi è capitato solo per evitare di arrivare in ritardo»</t>
  </si>
  <si>
    <t xml:space="preserve">Cambia treno per la puntualità, non per il posto</t>
  </si>
  <si>
    <t xml:space="preserve">«È molto utile sapere quanto è affollato il treno, o appunto se è in ritardo»</t>
  </si>
  <si>
    <t xml:space="preserve">Affollamento e ritardo utili insieme</t>
  </si>
  <si>
    <t xml:space="preserve">«se è in ritardo (senza partire dai 5 minuti come fanno i tabelloni) o se ci sono imprevisti in tempo reale […] in modo più preciso rispetto all'app di Trenord che generalizza»</t>
  </si>
  <si>
    <t xml:space="preserve">Vuole ritardi e imprevisti precisi, non generici</t>
  </si>
  <si>
    <t xml:space="preserve">«Preferirei ricevere notifiche piuttosto che cercare attivamente l'informazione»</t>
  </si>
  <si>
    <t xml:space="preserve">Preferisce le notifiche alla ricerca</t>
  </si>
  <si>
    <t xml:space="preserve">T8</t>
  </si>
  <si>
    <t xml:space="preserve">«Se il treno viene soppresso […] vorrei avere la certezza che anche il treno successivo verrà condizionato o meno»</t>
  </si>
  <si>
    <t xml:space="preserve">Vuole sapere se anche la corsa successiva è coinvolta</t>
  </si>
  <si>
    <t xml:space="preserve">«Mi pongo il problema letteralmente quando arriva il treno e lo noto troppo affollato»</t>
  </si>
  <si>
    <t xml:space="preserve">Pensa alla folla solo all'arrivo del treno</t>
  </si>
  <si>
    <t xml:space="preserve">«potrebbe essere utile […] averne due […] mediamente molto affollato e se vai in dati più specifici vedi il treno esatto»</t>
  </si>
  <si>
    <t xml:space="preserve">Vuole media storica e dato del treno esatto</t>
  </si>
  <si>
    <t xml:space="preserve">«[metro] Generalmente in base a quanto sono in ritardo»</t>
  </si>
  <si>
    <t xml:space="preserve">Metro: decide in base al margine di tempo</t>
  </si>
  <si>
    <t xml:space="preserve">Alcuni vagoni restano più vuoti perché evitati da altri passeggeri (commento originale non riportato)</t>
  </si>
  <si>
    <t xml:space="preserve">«la telecamera deve essere equipaggiata con un programma di oscuramento facciale […] già alla base»</t>
  </si>
  <si>
    <t xml:space="preserve">Oscuramento del volto alla fonte</t>
  </si>
  <si>
    <t xml:space="preserve">«se […] le telecamere fossero gestite […] dallo Stato, fossero fatte apposta per tenere il pubblico sicuro […] si potrebbe stare più tranquilli»</t>
  </si>
  <si>
    <t xml:space="preserve">Si fida di telecamere pubbliche di sicurezza</t>
  </si>
  <si>
    <t xml:space="preserve">«ci sono delle volte che prendo 7.09 semplicemente perché è meno pieno. […] devi avere la possibilità di avere dei treni vicino d'orario»</t>
  </si>
  <si>
    <t xml:space="preserve">Sceglie il treno meno pieno se ce n'è uno vicino</t>
  </si>
  <si>
    <t xml:space="preserve">«implementare come una specie di programma di viaggio […] non ho bisogno che mi arrivi la notifica del treno delle 3»</t>
  </si>
  <si>
    <t xml:space="preserve">Notifiche solo per i propri viaggi</t>
  </si>
  <si>
    <t xml:space="preserve">«se si perde un treno si aspetta un'ora quello dopo […] in decisione rapida non c'è molto da poter fare»</t>
  </si>
  <si>
    <t xml:space="preserve">Con una corsa all'ora l'imprevisto non lascia scelte</t>
  </si>
  <si>
    <t xml:space="preserve">«hai perso il treno, ok, ce n'è quest'altro in questa stazione a quest'ora, ci puoi arrivare»</t>
  </si>
  <si>
    <t xml:space="preserve">Vuole sapere la prossima opzione raggiungibile</t>
  </si>
  <si>
    <t xml:space="preserve">P6</t>
  </si>
  <si>
    <t xml:space="preserve">«Poco prima di salire, sinceramente […] Oppure giorno prima, ma di solito dipende dall'orario»</t>
  </si>
  <si>
    <t xml:space="preserve">Pensa alla folla poco prima di salire (o prima, se è ora di punta)</t>
  </si>
  <si>
    <t xml:space="preserve">«so che a certi orari […] sarà pieno il treno […] quindi non è che devo saperlo, lo so»</t>
  </si>
  <si>
    <t xml:space="preserve">La folla delle ore di punta la conosce già</t>
  </si>
  <si>
    <t xml:space="preserve">«sulla metro la guardo quando arriva, se è pieno […] prendo quella dopo, però di solito sono in ritardo quindi devo prenderla comunque»</t>
  </si>
  <si>
    <t xml:space="preserve">Metro: aspetta solo se non è in ritardo</t>
  </si>
  <si>
    <t xml:space="preserve">«i lati sono di solito meno pieni e al centro c'è un botto di gente»</t>
  </si>
  <si>
    <t xml:space="preserve">Testa e coda meno piene</t>
  </si>
  <si>
    <t xml:space="preserve">«Io preferisco un conteggio dei […] tornelli […] senza dover fare cose strane con una telecamera»</t>
  </si>
  <si>
    <t xml:space="preserve">Preferisce il conteggio di biglietti/tornelli alle telecamere</t>
  </si>
  <si>
    <t xml:space="preserve">«non mi interessa se ci sia casino in stazione, io voglio sapere se c'è casino sul treno»</t>
  </si>
  <si>
    <t xml:space="preserve">Conta l'affollamento del treno, non della stazione</t>
  </si>
  <si>
    <t xml:space="preserve">«non ho mai fatto sacrifici per avere il posto […] bisogna arrivare dove si deve arrivare»</t>
  </si>
  <si>
    <t xml:space="preserve">Non sacrifica tempo per il posto</t>
  </si>
  <si>
    <t xml:space="preserve">«che tipo di informazioni voglio ricevere: se ci saranno ritardi»</t>
  </si>
  <si>
    <t xml:space="preserve">Vuole sapere i ritardi</t>
  </si>
  <si>
    <t xml:space="preserve">«qualche lavoro che si possono già annunciare, già saperlo quando acquisto il biglietto […] ti becchi il treno […] per dei lavori di cui non sapevi l'esistenza»</t>
  </si>
  <si>
    <t xml:space="preserve">Vuole sapere in anticipo i lavori programmati</t>
  </si>
  <si>
    <t xml:space="preserve">«sulla pienezza può avvisarmi ma molto probabilmente lo prenderei comunque»</t>
  </si>
  <si>
    <t xml:space="preserve">L'avviso di treno pieno non cambia la scelta</t>
  </si>
  <si>
    <t xml:space="preserve">«le notifiche […] mettete a preferenza»</t>
  </si>
  <si>
    <t xml:space="preserve">Notifiche attivabili a scelta</t>
  </si>
  <si>
    <t xml:space="preserve">«[manca sapere] che treni ci sono dopo e […] percorsi alternativi»</t>
  </si>
  <si>
    <t xml:space="preserve">Vuole prossime corse e percorsi alternativi</t>
  </si>
  <si>
    <t xml:space="preserve">«in ogni stazione ci sia almeno un ascensore […] Poi che vada o no è questo che vorrei sapere»</t>
  </si>
  <si>
    <t xml:space="preserve">Vuole sapere se l'ascensore funziona</t>
  </si>
  <si>
    <t xml:space="preserve">«Avevo visto qualcuno che era sceso con l'aiuto dello staff di ATM»</t>
  </si>
  <si>
    <t xml:space="preserve">Assistenza del personale ATM (osservata)</t>
  </si>
  <si>
    <t xml:space="preserve">«una notifica […] riguardo alle varie stazioni con […] scale mobili, ascensore […] e eventuali guasti»</t>
  </si>
  <si>
    <t xml:space="preserve">Vuole lo stato di ascensori e scale per stazione</t>
  </si>
  <si>
    <t xml:space="preserve">«sapere quanta gente c'è prima di salire, se si tratta di metro mi può andare bene; se si tratta di treni non è molto utile»</t>
  </si>
  <si>
    <t xml:space="preserve">Affollamento utile per la metro, non per il treno</t>
  </si>
  <si>
    <t xml:space="preserve">Descrizione</t>
  </si>
  <si>
    <t xml:space="preserve">Nuovo in C2</t>
  </si>
  <si>
    <t xml:space="preserve">N. codici</t>
  </si>
  <si>
    <t xml:space="preserve">di cui C2</t>
  </si>
  <si>
    <t xml:space="preserve">N. partecipanti</t>
  </si>
  <si>
    <t xml:space="preserve">Chi viaggia spesso gestisce la folla con strategie apprese, non con le app</t>
  </si>
  <si>
    <t xml:space="preserve">La folla si evita solo se c'è un'alternativa vicina: con la metro sì, col treno no</t>
  </si>
  <si>
    <t xml:space="preserve">Ritardi e folla vanno insieme: chi viaggia ogni giorno guarda prima l'affidabilità</t>
  </si>
  <si>
    <t xml:space="preserve">I dati sull'affollamento esistono ma non arrivano ai viaggiatori</t>
  </si>
  <si>
    <t xml:space="preserve">L'informazione serve nel momento in cui si decide: per molti in banchina o a bordo</t>
  </si>
  <si>
    <t xml:space="preserve">Quando il piano salta servono alternative concrete e certe, non avvisi generici</t>
  </si>
  <si>
    <t xml:space="preserve">sì</t>
  </si>
  <si>
    <t xml:space="preserve">La folla va stimata senza identificare nessuno: dati anonimi, sotto controllo pubblico, o dai biglietti</t>
  </si>
  <si>
    <t xml:space="preserve">L'informazione deve arrivare da sola, ma solo per i viaggi che contano</t>
  </si>
  <si>
    <t xml:space="preserve">Lo storico conferma l'abitudine; il tempo reale serve quando qualcosa cambia</t>
  </si>
  <si>
    <t xml:space="preserve">Codici con un solo partecipante o non vissuti in prima persona: da approfondire</t>
  </si>
  <si>
    <t xml:space="preserve">Totale</t>
  </si>
  <si>
    <t xml:space="preserve">Sigla</t>
  </si>
  <si>
    <t xml:space="preserve">Profilo</t>
  </si>
  <si>
    <t xml:space="preserve">Tipo di utente</t>
  </si>
  <si>
    <t xml:space="preserve">Fonte</t>
  </si>
  <si>
    <t xml:space="preserve">Studente Polimi, pendolare treno + metro, 5 giorni su 7</t>
  </si>
  <si>
    <t xml:space="preserve">Lead</t>
  </si>
  <si>
    <t xml:space="preserve">✓</t>
  </si>
  <si>
    <t xml:space="preserve">C1: trascrizione automatica · C2: vocale trascritto</t>
  </si>
  <si>
    <t xml:space="preserve">Ex pendolare, oggi usa l'auto, treno occasionale</t>
  </si>
  <si>
    <t xml:space="preserve">Marginale</t>
  </si>
  <si>
    <t xml:space="preserve">C1: appunti (non verbatim) · C2: risposte scritte</t>
  </si>
  <si>
    <t xml:space="preserve">Studente Polimi, pendolare Tradate–Cadorna + metro, lun–gio</t>
  </si>
  <si>
    <t xml:space="preserve">Diretto</t>
  </si>
  <si>
    <t xml:space="preserve">Macchinista Trenitalia e pendolare Malnate–Milano</t>
  </si>
  <si>
    <t xml:space="preserve">Esperto di dominio</t>
  </si>
  <si>
    <t xml:space="preserve">C1: trascrizione automatica</t>
  </si>
  <si>
    <t xml:space="preserve">P5</t>
  </si>
  <si>
    <t xml:space="preserve">Persona a mobilità ridotta</t>
  </si>
  <si>
    <t xml:space="preserve">Non reclutata</t>
  </si>
  <si>
    <t xml:space="preserve">Nessuna risposta al reclutamento</t>
  </si>
  <si>
    <t xml:space="preserve">Studente pendolare treno + metro (nuovo in C2)</t>
  </si>
  <si>
    <t xml:space="preserve">Diretto / utente immediato</t>
  </si>
  <si>
    <t xml:space="preserve">C2: vocale trascritto</t>
  </si>
  <si>
    <t xml:space="preserve">Analisi tematica — C1 + C2</t>
  </si>
  <si>
    <t xml:space="preserve">Metodo: codifica induttiva (codici ricavati dai dati), poi raggruppamento dei codici in temi, come nell'esercitazione sul needfinding. La colonna Round distingue le interviste del Compito 1 (C1) dalle nuove risposte del Compito 2 (C2).</t>
  </si>
  <si>
    <t xml:space="preserve">Formato C2: i partecipanti hanno risposto alla nuova traccia in modo asincrono (vocali WhatsApp trascritti, P2 per iscritto). Non è stato possibile fare domande di approfondimento: è un limite da dichiarare nelle slide.</t>
  </si>
  <si>
    <t xml:space="preserve">Temi nuovi in C2: T6 (imprevisti e alternative), T7 (privacy e fiducia nei dati), T8 (notifiche filtrate), T9 (storico e tempo reale). T5 ora è supportato anche dagli utenti (P1, P2, P3, P6), non solo dall'esperto.</t>
  </si>
  <si>
    <t xml:space="preserve">Codici di T7: la domanda citava «il nostro sondaggio» e le telecamere con IA, quindi le risposte possono essere state influenzate dalla formulazione.</t>
  </si>
  <si>
    <t xml:space="preserve">Come aggiungere un codice: nuova riga nel foglio Codifica; Partecipante, Round, Tipo di estratto e Tema hanno un menu a tendina. Il foglio Temi si aggiorna da solo.</t>
  </si>
  <si>
    <t xml:space="preserve">«…» = citazione dalla trascrizione automatica o dalla risposta scritta: le trascrizioni vanno verificate sull'audio prima della consegna. […] indica parti omesse; [testo] indica contesto aggiunto da noi.</t>
  </si>
  <si>
    <t xml:space="preserve">Corsivo, senza virgolette = parafrasi da appunti, non parole testuali del partecipante.</t>
  </si>
  <si>
    <t xml:space="preserve">Isolato = codice con un solo partecipante o non vissuto in prima persona: non forma un tema (no cherry picking). L'accessibilità resta qui: nessun partecipante a mobilità ridotta; P4 riferisce, P6 ipotizza.</t>
  </si>
  <si>
    <t xml:space="preserve">Righe 37 e P3/C2 sulla scelta del vagone: si riporta solo il dato neutro; i commenti originali del partecipante su chi occupa i vagoni non vanno citati.</t>
  </si>
  <si>
    <t xml:space="preserve">P5 è riservato alla persona a mobilità ridotta non reclutata; il nuovo partecipante del C2 è P6.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</si>
</sst>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430"/>
        <bgColor rgb="FF333300"/>
      </patternFill>
    </fill>
    <fill>
      <patternFill patternType="solid">
        <fgColor rgb="FFFFF4CC"/>
        <bgColor rgb="FFFDE9D2"/>
      </patternFill>
    </fill>
    <fill>
      <patternFill patternType="solid">
        <fgColor rgb="FFDDF1EE"/>
        <bgColor rgb="FFDCEFF7"/>
      </patternFill>
    </fill>
    <fill>
      <patternFill patternType="solid">
        <fgColor rgb="FFFBE3DE"/>
        <bgColor rgb="FFF6E1EE"/>
      </patternFill>
    </fill>
    <fill>
      <patternFill patternType="solid">
        <fgColor rgb="FFE6E4F3"/>
        <bgColor rgb="FFF6E1EE"/>
      </patternFill>
    </fill>
    <fill>
      <patternFill patternType="solid">
        <fgColor rgb="FFE8F0FB"/>
        <bgColor rgb="FFEEF1F5"/>
      </patternFill>
    </fill>
    <fill>
      <patternFill patternType="solid">
        <fgColor rgb="FFEEF1F5"/>
        <bgColor rgb="FFE8F0FB"/>
      </patternFill>
    </fill>
    <fill>
      <patternFill patternType="solid">
        <fgColor rgb="FFDCEFF7"/>
        <bgColor rgb="FFDDF1EE"/>
      </patternFill>
    </fill>
    <fill>
      <patternFill patternType="solid">
        <fgColor rgb="FFE3F2DA"/>
        <bgColor rgb="FFDDF1EE"/>
      </patternFill>
    </fill>
    <fill>
      <patternFill patternType="solid">
        <fgColor rgb="FFFDE9D2"/>
        <bgColor rgb="FFFBE3DE"/>
      </patternFill>
    </fill>
    <fill>
      <patternFill patternType="solid">
        <fgColor rgb="FFF6E1EE"/>
        <bgColor rgb="FFFBE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430"/>
          <bgColor rgb="FF000000"/>
        </patternFill>
      </fill>
    </dxf>
    <dxf>
      <fill>
        <patternFill patternType="solid">
          <fgColor rgb="FFDCEFF7"/>
          <bgColor rgb="FF000000"/>
        </patternFill>
      </fill>
    </dxf>
    <dxf>
      <fill>
        <patternFill patternType="solid">
          <fgColor rgb="FFDDF1EE"/>
          <bgColor rgb="FF000000"/>
        </patternFill>
      </fill>
    </dxf>
    <dxf>
      <fill>
        <patternFill patternType="solid">
          <fgColor rgb="FFE3F2DA"/>
          <bgColor rgb="FF000000"/>
        </patternFill>
      </fill>
    </dxf>
    <dxf>
      <fill>
        <patternFill patternType="solid">
          <fgColor rgb="FFE6E4F3"/>
          <bgColor rgb="FF000000"/>
        </patternFill>
      </fill>
    </dxf>
    <dxf>
      <fill>
        <patternFill patternType="solid">
          <fgColor rgb="FFE8F0FB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6E1EE"/>
          <bgColor rgb="FF000000"/>
        </patternFill>
      </fill>
    </dxf>
    <dxf>
      <fill>
        <patternFill patternType="solid">
          <fgColor rgb="FFFBE3DE"/>
          <bgColor rgb="FF000000"/>
        </patternFill>
      </fill>
    </dxf>
    <dxf>
      <fill>
        <patternFill patternType="solid">
          <fgColor rgb="FFFDE9D2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E4F3"/>
      <rgbColor rgb="FF808080"/>
      <rgbColor rgb="FF9999FF"/>
      <rgbColor rgb="FF993366"/>
      <rgbColor rgb="FFFFF4CC"/>
      <rgbColor rgb="FFDDF1EE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FF7"/>
      <rgbColor rgb="FFE3F2DA"/>
      <rgbColor rgb="FFFDE9D2"/>
      <rgbColor rgb="FFE8F0FB"/>
      <rgbColor rgb="FFF6E1EE"/>
      <rgbColor rgb="FFEEF1F5"/>
      <rgbColor rgb="FFFBE3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  <c r="G2" s="4" t="s">
        <v>12</v>
      </c>
    </row>
    <row r="3" customFormat="false" ht="23.85" hidden="false" customHeight="false" outlineLevel="0" collapsed="false">
      <c r="A3" s="2" t="n">
        <v>2</v>
      </c>
      <c r="B3" s="2" t="s">
        <v>7</v>
      </c>
      <c r="C3" s="2" t="s">
        <v>8</v>
      </c>
      <c r="D3" s="3" t="s">
        <v>13</v>
      </c>
      <c r="E3" s="2" t="s">
        <v>10</v>
      </c>
      <c r="F3" s="3" t="s">
        <v>14</v>
      </c>
      <c r="G3" s="4" t="s">
        <v>12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8</v>
      </c>
      <c r="D4" s="5" t="s">
        <v>16</v>
      </c>
      <c r="E4" s="2" t="s">
        <v>17</v>
      </c>
      <c r="F4" s="3" t="s">
        <v>18</v>
      </c>
      <c r="G4" s="4" t="s">
        <v>12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8</v>
      </c>
      <c r="D5" s="5" t="s">
        <v>19</v>
      </c>
      <c r="E5" s="2" t="s">
        <v>17</v>
      </c>
      <c r="F5" s="3" t="s">
        <v>20</v>
      </c>
      <c r="G5" s="4" t="s">
        <v>12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8</v>
      </c>
      <c r="D6" s="5" t="s">
        <v>21</v>
      </c>
      <c r="E6" s="2" t="s">
        <v>17</v>
      </c>
      <c r="F6" s="3" t="s">
        <v>22</v>
      </c>
      <c r="G6" s="4" t="s">
        <v>12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8</v>
      </c>
      <c r="D7" s="3" t="s">
        <v>24</v>
      </c>
      <c r="E7" s="2" t="s">
        <v>10</v>
      </c>
      <c r="F7" s="3" t="s">
        <v>25</v>
      </c>
      <c r="G7" s="4" t="s">
        <v>12</v>
      </c>
    </row>
    <row r="8" customFormat="false" ht="15" hidden="false" customHeight="false" outlineLevel="0" collapsed="false">
      <c r="A8" s="2" t="n">
        <v>7</v>
      </c>
      <c r="B8" s="2" t="s">
        <v>23</v>
      </c>
      <c r="C8" s="2" t="s">
        <v>8</v>
      </c>
      <c r="D8" s="3" t="s">
        <v>26</v>
      </c>
      <c r="E8" s="2" t="s">
        <v>10</v>
      </c>
      <c r="F8" s="3" t="s">
        <v>27</v>
      </c>
      <c r="G8" s="4" t="s">
        <v>12</v>
      </c>
    </row>
    <row r="9" customFormat="false" ht="15" hidden="false" customHeight="false" outlineLevel="0" collapsed="false">
      <c r="A9" s="2" t="n">
        <v>8</v>
      </c>
      <c r="B9" s="2" t="s">
        <v>7</v>
      </c>
      <c r="C9" s="2" t="s">
        <v>8</v>
      </c>
      <c r="D9" s="3" t="s">
        <v>28</v>
      </c>
      <c r="E9" s="2" t="s">
        <v>10</v>
      </c>
      <c r="F9" s="3" t="s">
        <v>29</v>
      </c>
      <c r="G9" s="4" t="s">
        <v>12</v>
      </c>
    </row>
    <row r="10" customFormat="false" ht="15" hidden="false" customHeight="false" outlineLevel="0" collapsed="false">
      <c r="A10" s="2" t="n">
        <v>9</v>
      </c>
      <c r="B10" s="2" t="s">
        <v>15</v>
      </c>
      <c r="C10" s="2" t="s">
        <v>8</v>
      </c>
      <c r="D10" s="5" t="s">
        <v>30</v>
      </c>
      <c r="E10" s="2" t="s">
        <v>17</v>
      </c>
      <c r="F10" s="3" t="s">
        <v>31</v>
      </c>
      <c r="G10" s="4" t="s">
        <v>12</v>
      </c>
    </row>
    <row r="11" customFormat="false" ht="15" hidden="false" customHeight="false" outlineLevel="0" collapsed="false">
      <c r="A11" s="2" t="n">
        <v>10</v>
      </c>
      <c r="B11" s="2" t="s">
        <v>32</v>
      </c>
      <c r="C11" s="2" t="s">
        <v>8</v>
      </c>
      <c r="D11" s="3" t="s">
        <v>33</v>
      </c>
      <c r="E11" s="2" t="s">
        <v>10</v>
      </c>
      <c r="F11" s="3" t="s">
        <v>34</v>
      </c>
      <c r="G11" s="4" t="s">
        <v>12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2" t="s">
        <v>8</v>
      </c>
      <c r="D12" s="3" t="s">
        <v>35</v>
      </c>
      <c r="E12" s="2" t="s">
        <v>10</v>
      </c>
      <c r="F12" s="3" t="s">
        <v>36</v>
      </c>
      <c r="G12" s="4" t="s">
        <v>12</v>
      </c>
    </row>
    <row r="13" customFormat="false" ht="15" hidden="false" customHeight="false" outlineLevel="0" collapsed="false">
      <c r="A13" s="6" t="n">
        <v>12</v>
      </c>
      <c r="B13" s="6" t="s">
        <v>7</v>
      </c>
      <c r="C13" s="6" t="s">
        <v>8</v>
      </c>
      <c r="D13" s="7" t="s">
        <v>37</v>
      </c>
      <c r="E13" s="6" t="s">
        <v>10</v>
      </c>
      <c r="F13" s="7" t="s">
        <v>38</v>
      </c>
      <c r="G13" s="8" t="s">
        <v>39</v>
      </c>
    </row>
    <row r="14" customFormat="false" ht="15" hidden="false" customHeight="false" outlineLevel="0" collapsed="false">
      <c r="A14" s="6" t="n">
        <v>13</v>
      </c>
      <c r="B14" s="6" t="s">
        <v>7</v>
      </c>
      <c r="C14" s="6" t="s">
        <v>8</v>
      </c>
      <c r="D14" s="7" t="s">
        <v>40</v>
      </c>
      <c r="E14" s="6" t="s">
        <v>10</v>
      </c>
      <c r="F14" s="7" t="s">
        <v>41</v>
      </c>
      <c r="G14" s="8" t="s">
        <v>39</v>
      </c>
    </row>
    <row r="15" customFormat="false" ht="15" hidden="false" customHeight="false" outlineLevel="0" collapsed="false">
      <c r="A15" s="6" t="n">
        <v>14</v>
      </c>
      <c r="B15" s="6" t="s">
        <v>15</v>
      </c>
      <c r="C15" s="6" t="s">
        <v>8</v>
      </c>
      <c r="D15" s="9" t="s">
        <v>42</v>
      </c>
      <c r="E15" s="6" t="s">
        <v>17</v>
      </c>
      <c r="F15" s="7" t="s">
        <v>43</v>
      </c>
      <c r="G15" s="8" t="s">
        <v>39</v>
      </c>
    </row>
    <row r="16" customFormat="false" ht="23.85" hidden="false" customHeight="false" outlineLevel="0" collapsed="false">
      <c r="A16" s="6" t="n">
        <v>15</v>
      </c>
      <c r="B16" s="6" t="s">
        <v>32</v>
      </c>
      <c r="C16" s="6" t="s">
        <v>8</v>
      </c>
      <c r="D16" s="7" t="s">
        <v>44</v>
      </c>
      <c r="E16" s="6" t="s">
        <v>10</v>
      </c>
      <c r="F16" s="7" t="s">
        <v>45</v>
      </c>
      <c r="G16" s="8" t="s">
        <v>39</v>
      </c>
    </row>
    <row r="17" customFormat="false" ht="15" hidden="false" customHeight="false" outlineLevel="0" collapsed="false">
      <c r="A17" s="6" t="n">
        <v>16</v>
      </c>
      <c r="B17" s="6" t="s">
        <v>32</v>
      </c>
      <c r="C17" s="6" t="s">
        <v>8</v>
      </c>
      <c r="D17" s="7" t="s">
        <v>46</v>
      </c>
      <c r="E17" s="6" t="s">
        <v>10</v>
      </c>
      <c r="F17" s="7" t="s">
        <v>47</v>
      </c>
      <c r="G17" s="8" t="s">
        <v>39</v>
      </c>
    </row>
    <row r="18" customFormat="false" ht="15" hidden="false" customHeight="false" outlineLevel="0" collapsed="false">
      <c r="A18" s="6" t="n">
        <v>17</v>
      </c>
      <c r="B18" s="6" t="s">
        <v>32</v>
      </c>
      <c r="C18" s="6" t="s">
        <v>8</v>
      </c>
      <c r="D18" s="7" t="s">
        <v>48</v>
      </c>
      <c r="E18" s="6" t="s">
        <v>10</v>
      </c>
      <c r="F18" s="7" t="s">
        <v>49</v>
      </c>
      <c r="G18" s="8" t="s">
        <v>39</v>
      </c>
    </row>
    <row r="19" customFormat="false" ht="15" hidden="false" customHeight="false" outlineLevel="0" collapsed="false">
      <c r="A19" s="6" t="n">
        <v>18</v>
      </c>
      <c r="B19" s="6" t="s">
        <v>23</v>
      </c>
      <c r="C19" s="6" t="s">
        <v>8</v>
      </c>
      <c r="D19" s="7" t="s">
        <v>50</v>
      </c>
      <c r="E19" s="6" t="s">
        <v>10</v>
      </c>
      <c r="F19" s="7" t="s">
        <v>51</v>
      </c>
      <c r="G19" s="8" t="s">
        <v>39</v>
      </c>
    </row>
    <row r="20" customFormat="false" ht="15" hidden="false" customHeight="false" outlineLevel="0" collapsed="false">
      <c r="A20" s="6" t="n">
        <v>19</v>
      </c>
      <c r="B20" s="6" t="s">
        <v>23</v>
      </c>
      <c r="C20" s="6" t="s">
        <v>8</v>
      </c>
      <c r="D20" s="7" t="s">
        <v>52</v>
      </c>
      <c r="E20" s="6" t="s">
        <v>10</v>
      </c>
      <c r="F20" s="7" t="s">
        <v>53</v>
      </c>
      <c r="G20" s="8" t="s">
        <v>39</v>
      </c>
    </row>
    <row r="21" customFormat="false" ht="23.85" hidden="false" customHeight="false" outlineLevel="0" collapsed="false">
      <c r="A21" s="10" t="n">
        <v>20</v>
      </c>
      <c r="B21" s="10" t="s">
        <v>7</v>
      </c>
      <c r="C21" s="10" t="s">
        <v>8</v>
      </c>
      <c r="D21" s="11" t="s">
        <v>54</v>
      </c>
      <c r="E21" s="10" t="s">
        <v>10</v>
      </c>
      <c r="F21" s="11" t="s">
        <v>55</v>
      </c>
      <c r="G21" s="12" t="s">
        <v>56</v>
      </c>
    </row>
    <row r="22" customFormat="false" ht="15" hidden="false" customHeight="false" outlineLevel="0" collapsed="false">
      <c r="A22" s="10" t="n">
        <v>21</v>
      </c>
      <c r="B22" s="10" t="s">
        <v>7</v>
      </c>
      <c r="C22" s="10" t="s">
        <v>8</v>
      </c>
      <c r="D22" s="11" t="s">
        <v>57</v>
      </c>
      <c r="E22" s="10" t="s">
        <v>10</v>
      </c>
      <c r="F22" s="11" t="s">
        <v>58</v>
      </c>
      <c r="G22" s="12" t="s">
        <v>56</v>
      </c>
    </row>
    <row r="23" customFormat="false" ht="15" hidden="false" customHeight="false" outlineLevel="0" collapsed="false">
      <c r="A23" s="10" t="n">
        <v>22</v>
      </c>
      <c r="B23" s="10" t="s">
        <v>32</v>
      </c>
      <c r="C23" s="10" t="s">
        <v>8</v>
      </c>
      <c r="D23" s="11" t="s">
        <v>59</v>
      </c>
      <c r="E23" s="10" t="s">
        <v>10</v>
      </c>
      <c r="F23" s="11" t="s">
        <v>60</v>
      </c>
      <c r="G23" s="12" t="s">
        <v>56</v>
      </c>
    </row>
    <row r="24" customFormat="false" ht="15" hidden="false" customHeight="false" outlineLevel="0" collapsed="false">
      <c r="A24" s="10" t="n">
        <v>23</v>
      </c>
      <c r="B24" s="10" t="s">
        <v>32</v>
      </c>
      <c r="C24" s="10" t="s">
        <v>8</v>
      </c>
      <c r="D24" s="11" t="s">
        <v>61</v>
      </c>
      <c r="E24" s="10" t="s">
        <v>10</v>
      </c>
      <c r="F24" s="11" t="s">
        <v>62</v>
      </c>
      <c r="G24" s="12" t="s">
        <v>56</v>
      </c>
    </row>
    <row r="25" customFormat="false" ht="15" hidden="false" customHeight="false" outlineLevel="0" collapsed="false">
      <c r="A25" s="10" t="n">
        <v>24</v>
      </c>
      <c r="B25" s="10" t="s">
        <v>32</v>
      </c>
      <c r="C25" s="10" t="s">
        <v>8</v>
      </c>
      <c r="D25" s="11" t="s">
        <v>63</v>
      </c>
      <c r="E25" s="10" t="s">
        <v>10</v>
      </c>
      <c r="F25" s="11" t="s">
        <v>64</v>
      </c>
      <c r="G25" s="12" t="s">
        <v>56</v>
      </c>
    </row>
    <row r="26" customFormat="false" ht="15" hidden="false" customHeight="false" outlineLevel="0" collapsed="false">
      <c r="A26" s="10" t="n">
        <v>25</v>
      </c>
      <c r="B26" s="10" t="s">
        <v>32</v>
      </c>
      <c r="C26" s="10" t="s">
        <v>8</v>
      </c>
      <c r="D26" s="11" t="s">
        <v>65</v>
      </c>
      <c r="E26" s="10" t="s">
        <v>10</v>
      </c>
      <c r="F26" s="11" t="s">
        <v>66</v>
      </c>
      <c r="G26" s="12" t="s">
        <v>56</v>
      </c>
    </row>
    <row r="27" customFormat="false" ht="15" hidden="false" customHeight="false" outlineLevel="0" collapsed="false">
      <c r="A27" s="10" t="n">
        <v>26</v>
      </c>
      <c r="B27" s="10" t="s">
        <v>23</v>
      </c>
      <c r="C27" s="10" t="s">
        <v>8</v>
      </c>
      <c r="D27" s="11" t="s">
        <v>67</v>
      </c>
      <c r="E27" s="10" t="s">
        <v>10</v>
      </c>
      <c r="F27" s="11" t="s">
        <v>68</v>
      </c>
      <c r="G27" s="12" t="s">
        <v>56</v>
      </c>
    </row>
    <row r="28" customFormat="false" ht="23.85" hidden="false" customHeight="false" outlineLevel="0" collapsed="false">
      <c r="A28" s="13" t="n">
        <v>27</v>
      </c>
      <c r="B28" s="13" t="s">
        <v>23</v>
      </c>
      <c r="C28" s="13" t="s">
        <v>8</v>
      </c>
      <c r="D28" s="14" t="s">
        <v>69</v>
      </c>
      <c r="E28" s="13" t="s">
        <v>10</v>
      </c>
      <c r="F28" s="14" t="s">
        <v>70</v>
      </c>
      <c r="G28" s="15" t="s">
        <v>71</v>
      </c>
    </row>
    <row r="29" customFormat="false" ht="15" hidden="false" customHeight="false" outlineLevel="0" collapsed="false">
      <c r="A29" s="13" t="n">
        <v>28</v>
      </c>
      <c r="B29" s="13" t="s">
        <v>23</v>
      </c>
      <c r="C29" s="13" t="s">
        <v>8</v>
      </c>
      <c r="D29" s="16" t="s">
        <v>72</v>
      </c>
      <c r="E29" s="13" t="s">
        <v>17</v>
      </c>
      <c r="F29" s="14" t="s">
        <v>73</v>
      </c>
      <c r="G29" s="15" t="s">
        <v>71</v>
      </c>
    </row>
    <row r="30" customFormat="false" ht="15" hidden="false" customHeight="false" outlineLevel="0" collapsed="false">
      <c r="A30" s="13" t="n">
        <v>29</v>
      </c>
      <c r="B30" s="13" t="s">
        <v>23</v>
      </c>
      <c r="C30" s="13" t="s">
        <v>8</v>
      </c>
      <c r="D30" s="14" t="s">
        <v>74</v>
      </c>
      <c r="E30" s="13" t="s">
        <v>10</v>
      </c>
      <c r="F30" s="14" t="s">
        <v>75</v>
      </c>
      <c r="G30" s="15" t="s">
        <v>71</v>
      </c>
    </row>
    <row r="31" customFormat="false" ht="15" hidden="false" customHeight="false" outlineLevel="0" collapsed="false">
      <c r="A31" s="13" t="n">
        <v>30</v>
      </c>
      <c r="B31" s="13" t="s">
        <v>32</v>
      </c>
      <c r="C31" s="13" t="s">
        <v>8</v>
      </c>
      <c r="D31" s="14" t="s">
        <v>76</v>
      </c>
      <c r="E31" s="13" t="s">
        <v>10</v>
      </c>
      <c r="F31" s="14" t="s">
        <v>77</v>
      </c>
      <c r="G31" s="15" t="s">
        <v>71</v>
      </c>
    </row>
    <row r="32" customFormat="false" ht="15" hidden="false" customHeight="false" outlineLevel="0" collapsed="false">
      <c r="A32" s="17" t="n">
        <v>31</v>
      </c>
      <c r="B32" s="17" t="s">
        <v>23</v>
      </c>
      <c r="C32" s="17" t="s">
        <v>8</v>
      </c>
      <c r="D32" s="18" t="s">
        <v>78</v>
      </c>
      <c r="E32" s="17" t="s">
        <v>10</v>
      </c>
      <c r="F32" s="18" t="s">
        <v>79</v>
      </c>
      <c r="G32" s="19" t="s">
        <v>80</v>
      </c>
    </row>
    <row r="33" customFormat="false" ht="23.85" hidden="false" customHeight="false" outlineLevel="0" collapsed="false">
      <c r="A33" s="17" t="n">
        <v>32</v>
      </c>
      <c r="B33" s="17" t="s">
        <v>23</v>
      </c>
      <c r="C33" s="17" t="s">
        <v>8</v>
      </c>
      <c r="D33" s="18" t="s">
        <v>81</v>
      </c>
      <c r="E33" s="17" t="s">
        <v>10</v>
      </c>
      <c r="F33" s="18" t="s">
        <v>82</v>
      </c>
      <c r="G33" s="19" t="s">
        <v>80</v>
      </c>
    </row>
    <row r="34" customFormat="false" ht="15" hidden="false" customHeight="false" outlineLevel="0" collapsed="false">
      <c r="A34" s="17" t="n">
        <v>33</v>
      </c>
      <c r="B34" s="17" t="s">
        <v>23</v>
      </c>
      <c r="C34" s="17" t="s">
        <v>8</v>
      </c>
      <c r="D34" s="18" t="s">
        <v>83</v>
      </c>
      <c r="E34" s="17" t="s">
        <v>10</v>
      </c>
      <c r="F34" s="18" t="s">
        <v>84</v>
      </c>
      <c r="G34" s="19" t="s">
        <v>80</v>
      </c>
    </row>
    <row r="35" customFormat="false" ht="23.85" hidden="false" customHeight="false" outlineLevel="0" collapsed="false">
      <c r="A35" s="17" t="n">
        <v>34</v>
      </c>
      <c r="B35" s="17" t="s">
        <v>23</v>
      </c>
      <c r="C35" s="17" t="s">
        <v>8</v>
      </c>
      <c r="D35" s="18" t="s">
        <v>85</v>
      </c>
      <c r="E35" s="17" t="s">
        <v>10</v>
      </c>
      <c r="F35" s="18" t="s">
        <v>86</v>
      </c>
      <c r="G35" s="19" t="s">
        <v>80</v>
      </c>
    </row>
    <row r="36" customFormat="false" ht="23.85" hidden="false" customHeight="false" outlineLevel="0" collapsed="false">
      <c r="A36" s="17" t="n">
        <v>35</v>
      </c>
      <c r="B36" s="17" t="s">
        <v>23</v>
      </c>
      <c r="C36" s="17" t="s">
        <v>8</v>
      </c>
      <c r="D36" s="20" t="s">
        <v>87</v>
      </c>
      <c r="E36" s="17" t="s">
        <v>17</v>
      </c>
      <c r="F36" s="18" t="s">
        <v>88</v>
      </c>
      <c r="G36" s="19" t="s">
        <v>80</v>
      </c>
    </row>
    <row r="37" customFormat="false" ht="15" hidden="false" customHeight="false" outlineLevel="0" collapsed="false">
      <c r="A37" s="21" t="n">
        <v>36</v>
      </c>
      <c r="B37" s="21" t="s">
        <v>32</v>
      </c>
      <c r="C37" s="21" t="s">
        <v>8</v>
      </c>
      <c r="D37" s="22" t="s">
        <v>89</v>
      </c>
      <c r="E37" s="21" t="s">
        <v>10</v>
      </c>
      <c r="F37" s="22" t="s">
        <v>90</v>
      </c>
      <c r="G37" s="23" t="s">
        <v>91</v>
      </c>
    </row>
    <row r="38" customFormat="false" ht="15" hidden="false" customHeight="false" outlineLevel="0" collapsed="false">
      <c r="A38" s="21" t="n">
        <v>37</v>
      </c>
      <c r="B38" s="21" t="s">
        <v>32</v>
      </c>
      <c r="C38" s="21" t="s">
        <v>8</v>
      </c>
      <c r="D38" s="24" t="s">
        <v>92</v>
      </c>
      <c r="E38" s="21" t="s">
        <v>17</v>
      </c>
      <c r="F38" s="22" t="s">
        <v>93</v>
      </c>
      <c r="G38" s="23" t="s">
        <v>91</v>
      </c>
    </row>
    <row r="39" customFormat="false" ht="15" hidden="false" customHeight="false" outlineLevel="0" collapsed="false">
      <c r="A39" s="21" t="n">
        <v>38</v>
      </c>
      <c r="B39" s="21" t="s">
        <v>23</v>
      </c>
      <c r="C39" s="21" t="s">
        <v>8</v>
      </c>
      <c r="D39" s="22" t="s">
        <v>94</v>
      </c>
      <c r="E39" s="21" t="s">
        <v>10</v>
      </c>
      <c r="F39" s="22" t="s">
        <v>95</v>
      </c>
      <c r="G39" s="23" t="s">
        <v>91</v>
      </c>
    </row>
    <row r="40" customFormat="false" ht="15" hidden="false" customHeight="false" outlineLevel="0" collapsed="false">
      <c r="A40" s="21" t="n">
        <v>39</v>
      </c>
      <c r="B40" s="21" t="s">
        <v>23</v>
      </c>
      <c r="C40" s="21" t="s">
        <v>8</v>
      </c>
      <c r="D40" s="24" t="s">
        <v>96</v>
      </c>
      <c r="E40" s="21" t="s">
        <v>17</v>
      </c>
      <c r="F40" s="22" t="s">
        <v>97</v>
      </c>
      <c r="G40" s="23" t="s">
        <v>91</v>
      </c>
    </row>
    <row r="41" customFormat="false" ht="15" hidden="false" customHeight="false" outlineLevel="0" collapsed="false">
      <c r="A41" s="21" t="n">
        <v>40</v>
      </c>
      <c r="B41" s="21" t="s">
        <v>32</v>
      </c>
      <c r="C41" s="21" t="s">
        <v>8</v>
      </c>
      <c r="D41" s="24" t="s">
        <v>98</v>
      </c>
      <c r="E41" s="21" t="s">
        <v>17</v>
      </c>
      <c r="F41" s="22" t="s">
        <v>99</v>
      </c>
      <c r="G41" s="23" t="s">
        <v>91</v>
      </c>
    </row>
    <row r="42" customFormat="false" ht="15" hidden="false" customHeight="false" outlineLevel="0" collapsed="false">
      <c r="A42" s="21" t="n">
        <v>41</v>
      </c>
      <c r="B42" s="21" t="s">
        <v>15</v>
      </c>
      <c r="C42" s="21" t="s">
        <v>8</v>
      </c>
      <c r="D42" s="24" t="s">
        <v>100</v>
      </c>
      <c r="E42" s="21" t="s">
        <v>17</v>
      </c>
      <c r="F42" s="22" t="s">
        <v>101</v>
      </c>
      <c r="G42" s="23" t="s">
        <v>91</v>
      </c>
    </row>
    <row r="43" customFormat="false" ht="15" hidden="false" customHeight="false" outlineLevel="0" collapsed="false">
      <c r="A43" s="21" t="n">
        <v>42</v>
      </c>
      <c r="B43" s="21" t="s">
        <v>23</v>
      </c>
      <c r="C43" s="21" t="s">
        <v>8</v>
      </c>
      <c r="D43" s="24" t="s">
        <v>102</v>
      </c>
      <c r="E43" s="21" t="s">
        <v>17</v>
      </c>
      <c r="F43" s="22" t="s">
        <v>103</v>
      </c>
      <c r="G43" s="23" t="s">
        <v>91</v>
      </c>
    </row>
    <row r="44" customFormat="false" ht="23.85" hidden="false" customHeight="false" outlineLevel="0" collapsed="false">
      <c r="A44" s="17" t="n">
        <v>43</v>
      </c>
      <c r="B44" s="17" t="s">
        <v>7</v>
      </c>
      <c r="C44" s="19" t="s">
        <v>104</v>
      </c>
      <c r="D44" s="18" t="s">
        <v>105</v>
      </c>
      <c r="E44" s="17" t="s">
        <v>10</v>
      </c>
      <c r="F44" s="18" t="s">
        <v>106</v>
      </c>
      <c r="G44" s="19" t="s">
        <v>80</v>
      </c>
    </row>
    <row r="45" customFormat="false" ht="15" hidden="false" customHeight="false" outlineLevel="0" collapsed="false">
      <c r="A45" s="25" t="n">
        <v>44</v>
      </c>
      <c r="B45" s="25" t="s">
        <v>7</v>
      </c>
      <c r="C45" s="26" t="s">
        <v>104</v>
      </c>
      <c r="D45" s="27" t="s">
        <v>107</v>
      </c>
      <c r="E45" s="25" t="s">
        <v>10</v>
      </c>
      <c r="F45" s="27" t="s">
        <v>108</v>
      </c>
      <c r="G45" s="26" t="s">
        <v>109</v>
      </c>
    </row>
    <row r="46" customFormat="false" ht="23.85" hidden="false" customHeight="false" outlineLevel="0" collapsed="false">
      <c r="A46" s="10" t="n">
        <v>45</v>
      </c>
      <c r="B46" s="10" t="s">
        <v>7</v>
      </c>
      <c r="C46" s="12" t="s">
        <v>104</v>
      </c>
      <c r="D46" s="11" t="s">
        <v>110</v>
      </c>
      <c r="E46" s="10" t="s">
        <v>10</v>
      </c>
      <c r="F46" s="11" t="s">
        <v>111</v>
      </c>
      <c r="G46" s="12" t="s">
        <v>56</v>
      </c>
    </row>
    <row r="47" customFormat="false" ht="23.85" hidden="false" customHeight="false" outlineLevel="0" collapsed="false">
      <c r="A47" s="6" t="n">
        <v>46</v>
      </c>
      <c r="B47" s="6" t="s">
        <v>7</v>
      </c>
      <c r="C47" s="8" t="s">
        <v>104</v>
      </c>
      <c r="D47" s="7" t="s">
        <v>112</v>
      </c>
      <c r="E47" s="6" t="s">
        <v>10</v>
      </c>
      <c r="F47" s="7" t="s">
        <v>113</v>
      </c>
      <c r="G47" s="8" t="s">
        <v>39</v>
      </c>
    </row>
    <row r="48" customFormat="false" ht="23.85" hidden="false" customHeight="false" outlineLevel="0" collapsed="false">
      <c r="A48" s="2" t="n">
        <v>47</v>
      </c>
      <c r="B48" s="2" t="s">
        <v>7</v>
      </c>
      <c r="C48" s="4" t="s">
        <v>104</v>
      </c>
      <c r="D48" s="3" t="s">
        <v>114</v>
      </c>
      <c r="E48" s="2" t="s">
        <v>10</v>
      </c>
      <c r="F48" s="3" t="s">
        <v>115</v>
      </c>
      <c r="G48" s="4" t="s">
        <v>12</v>
      </c>
    </row>
    <row r="49" customFormat="false" ht="23.85" hidden="false" customHeight="false" outlineLevel="0" collapsed="false">
      <c r="A49" s="2" t="n">
        <v>48</v>
      </c>
      <c r="B49" s="2" t="s">
        <v>7</v>
      </c>
      <c r="C49" s="4" t="s">
        <v>104</v>
      </c>
      <c r="D49" s="3" t="s">
        <v>116</v>
      </c>
      <c r="E49" s="2" t="s">
        <v>10</v>
      </c>
      <c r="F49" s="3" t="s">
        <v>117</v>
      </c>
      <c r="G49" s="4" t="s">
        <v>12</v>
      </c>
    </row>
    <row r="50" customFormat="false" ht="23.85" hidden="false" customHeight="false" outlineLevel="0" collapsed="false">
      <c r="A50" s="28" t="n">
        <v>49</v>
      </c>
      <c r="B50" s="28" t="s">
        <v>7</v>
      </c>
      <c r="C50" s="29" t="s">
        <v>104</v>
      </c>
      <c r="D50" s="30" t="s">
        <v>118</v>
      </c>
      <c r="E50" s="28" t="s">
        <v>10</v>
      </c>
      <c r="F50" s="30" t="s">
        <v>119</v>
      </c>
      <c r="G50" s="29" t="s">
        <v>120</v>
      </c>
    </row>
    <row r="51" customFormat="false" ht="23.85" hidden="false" customHeight="false" outlineLevel="0" collapsed="false">
      <c r="A51" s="10" t="n">
        <v>50</v>
      </c>
      <c r="B51" s="10" t="s">
        <v>7</v>
      </c>
      <c r="C51" s="12" t="s">
        <v>104</v>
      </c>
      <c r="D51" s="11" t="s">
        <v>121</v>
      </c>
      <c r="E51" s="10" t="s">
        <v>10</v>
      </c>
      <c r="F51" s="11" t="s">
        <v>122</v>
      </c>
      <c r="G51" s="12" t="s">
        <v>56</v>
      </c>
    </row>
    <row r="52" customFormat="false" ht="23.85" hidden="false" customHeight="false" outlineLevel="0" collapsed="false">
      <c r="A52" s="6" t="n">
        <v>51</v>
      </c>
      <c r="B52" s="6" t="s">
        <v>7</v>
      </c>
      <c r="C52" s="8" t="s">
        <v>104</v>
      </c>
      <c r="D52" s="7" t="s">
        <v>123</v>
      </c>
      <c r="E52" s="6" t="s">
        <v>10</v>
      </c>
      <c r="F52" s="7" t="s">
        <v>124</v>
      </c>
      <c r="G52" s="8" t="s">
        <v>39</v>
      </c>
    </row>
    <row r="53" customFormat="false" ht="15" hidden="false" customHeight="false" outlineLevel="0" collapsed="false">
      <c r="A53" s="31" t="n">
        <v>52</v>
      </c>
      <c r="B53" s="31" t="s">
        <v>7</v>
      </c>
      <c r="C53" s="32" t="s">
        <v>104</v>
      </c>
      <c r="D53" s="33" t="s">
        <v>125</v>
      </c>
      <c r="E53" s="31" t="s">
        <v>10</v>
      </c>
      <c r="F53" s="33" t="s">
        <v>126</v>
      </c>
      <c r="G53" s="32" t="s">
        <v>127</v>
      </c>
    </row>
    <row r="54" customFormat="false" ht="23.85" hidden="false" customHeight="false" outlineLevel="0" collapsed="false">
      <c r="A54" s="31" t="n">
        <v>53</v>
      </c>
      <c r="B54" s="31" t="s">
        <v>7</v>
      </c>
      <c r="C54" s="32" t="s">
        <v>104</v>
      </c>
      <c r="D54" s="33" t="s">
        <v>128</v>
      </c>
      <c r="E54" s="31" t="s">
        <v>10</v>
      </c>
      <c r="F54" s="33" t="s">
        <v>129</v>
      </c>
      <c r="G54" s="32" t="s">
        <v>127</v>
      </c>
    </row>
    <row r="55" customFormat="false" ht="15" hidden="false" customHeight="false" outlineLevel="0" collapsed="false">
      <c r="A55" s="17" t="n">
        <v>54</v>
      </c>
      <c r="B55" s="17" t="s">
        <v>15</v>
      </c>
      <c r="C55" s="19" t="s">
        <v>104</v>
      </c>
      <c r="D55" s="18" t="s">
        <v>130</v>
      </c>
      <c r="E55" s="17" t="s">
        <v>131</v>
      </c>
      <c r="F55" s="18" t="s">
        <v>132</v>
      </c>
      <c r="G55" s="19" t="s">
        <v>80</v>
      </c>
    </row>
    <row r="56" customFormat="false" ht="15" hidden="false" customHeight="false" outlineLevel="0" collapsed="false">
      <c r="A56" s="25" t="n">
        <v>55</v>
      </c>
      <c r="B56" s="25" t="s">
        <v>15</v>
      </c>
      <c r="C56" s="26" t="s">
        <v>104</v>
      </c>
      <c r="D56" s="27" t="s">
        <v>133</v>
      </c>
      <c r="E56" s="25" t="s">
        <v>131</v>
      </c>
      <c r="F56" s="27" t="s">
        <v>108</v>
      </c>
      <c r="G56" s="26" t="s">
        <v>109</v>
      </c>
    </row>
    <row r="57" customFormat="false" ht="23.85" hidden="false" customHeight="false" outlineLevel="0" collapsed="false">
      <c r="A57" s="6" t="n">
        <v>56</v>
      </c>
      <c r="B57" s="6" t="s">
        <v>15</v>
      </c>
      <c r="C57" s="8" t="s">
        <v>104</v>
      </c>
      <c r="D57" s="7" t="s">
        <v>134</v>
      </c>
      <c r="E57" s="6" t="s">
        <v>131</v>
      </c>
      <c r="F57" s="7" t="s">
        <v>135</v>
      </c>
      <c r="G57" s="8" t="s">
        <v>39</v>
      </c>
    </row>
    <row r="58" customFormat="false" ht="23.85" hidden="false" customHeight="false" outlineLevel="0" collapsed="false">
      <c r="A58" s="2" t="n">
        <v>57</v>
      </c>
      <c r="B58" s="2" t="s">
        <v>15</v>
      </c>
      <c r="C58" s="4" t="s">
        <v>104</v>
      </c>
      <c r="D58" s="3" t="s">
        <v>136</v>
      </c>
      <c r="E58" s="2" t="s">
        <v>131</v>
      </c>
      <c r="F58" s="3" t="s">
        <v>115</v>
      </c>
      <c r="G58" s="4" t="s">
        <v>12</v>
      </c>
    </row>
    <row r="59" customFormat="false" ht="15" hidden="false" customHeight="false" outlineLevel="0" collapsed="false">
      <c r="A59" s="21" t="n">
        <v>58</v>
      </c>
      <c r="B59" s="21" t="s">
        <v>15</v>
      </c>
      <c r="C59" s="23" t="s">
        <v>104</v>
      </c>
      <c r="D59" s="22" t="s">
        <v>137</v>
      </c>
      <c r="E59" s="21" t="s">
        <v>131</v>
      </c>
      <c r="F59" s="22" t="s">
        <v>138</v>
      </c>
      <c r="G59" s="23" t="s">
        <v>91</v>
      </c>
    </row>
    <row r="60" customFormat="false" ht="23.85" hidden="false" customHeight="false" outlineLevel="0" collapsed="false">
      <c r="A60" s="28" t="n">
        <v>59</v>
      </c>
      <c r="B60" s="28" t="s">
        <v>15</v>
      </c>
      <c r="C60" s="29" t="s">
        <v>104</v>
      </c>
      <c r="D60" s="30" t="s">
        <v>139</v>
      </c>
      <c r="E60" s="28" t="s">
        <v>131</v>
      </c>
      <c r="F60" s="30" t="s">
        <v>140</v>
      </c>
      <c r="G60" s="29" t="s">
        <v>120</v>
      </c>
    </row>
    <row r="61" customFormat="false" ht="23.85" hidden="false" customHeight="false" outlineLevel="0" collapsed="false">
      <c r="A61" s="28" t="n">
        <v>60</v>
      </c>
      <c r="B61" s="28" t="s">
        <v>15</v>
      </c>
      <c r="C61" s="29" t="s">
        <v>104</v>
      </c>
      <c r="D61" s="30" t="s">
        <v>141</v>
      </c>
      <c r="E61" s="28" t="s">
        <v>131</v>
      </c>
      <c r="F61" s="30" t="s">
        <v>142</v>
      </c>
      <c r="G61" s="29" t="s">
        <v>120</v>
      </c>
    </row>
    <row r="62" customFormat="false" ht="23.85" hidden="false" customHeight="false" outlineLevel="0" collapsed="false">
      <c r="A62" s="6" t="n">
        <v>61</v>
      </c>
      <c r="B62" s="6" t="s">
        <v>15</v>
      </c>
      <c r="C62" s="8" t="s">
        <v>104</v>
      </c>
      <c r="D62" s="7" t="s">
        <v>143</v>
      </c>
      <c r="E62" s="6" t="s">
        <v>131</v>
      </c>
      <c r="F62" s="7" t="s">
        <v>144</v>
      </c>
      <c r="G62" s="8" t="s">
        <v>39</v>
      </c>
    </row>
    <row r="63" customFormat="false" ht="15" hidden="false" customHeight="false" outlineLevel="0" collapsed="false">
      <c r="A63" s="10" t="n">
        <v>62</v>
      </c>
      <c r="B63" s="10" t="s">
        <v>15</v>
      </c>
      <c r="C63" s="12" t="s">
        <v>104</v>
      </c>
      <c r="D63" s="11" t="s">
        <v>145</v>
      </c>
      <c r="E63" s="10" t="s">
        <v>131</v>
      </c>
      <c r="F63" s="11" t="s">
        <v>146</v>
      </c>
      <c r="G63" s="12" t="s">
        <v>56</v>
      </c>
    </row>
    <row r="64" customFormat="false" ht="35.05" hidden="false" customHeight="false" outlineLevel="0" collapsed="false">
      <c r="A64" s="31" t="n">
        <v>63</v>
      </c>
      <c r="B64" s="31" t="s">
        <v>15</v>
      </c>
      <c r="C64" s="32" t="s">
        <v>104</v>
      </c>
      <c r="D64" s="33" t="s">
        <v>147</v>
      </c>
      <c r="E64" s="31" t="s">
        <v>131</v>
      </c>
      <c r="F64" s="33" t="s">
        <v>148</v>
      </c>
      <c r="G64" s="32" t="s">
        <v>127</v>
      </c>
    </row>
    <row r="65" customFormat="false" ht="15" hidden="false" customHeight="false" outlineLevel="0" collapsed="false">
      <c r="A65" s="34" t="n">
        <v>64</v>
      </c>
      <c r="B65" s="34" t="s">
        <v>15</v>
      </c>
      <c r="C65" s="35" t="s">
        <v>104</v>
      </c>
      <c r="D65" s="36" t="s">
        <v>149</v>
      </c>
      <c r="E65" s="34" t="s">
        <v>131</v>
      </c>
      <c r="F65" s="36" t="s">
        <v>150</v>
      </c>
      <c r="G65" s="35" t="s">
        <v>151</v>
      </c>
    </row>
    <row r="66" customFormat="false" ht="23.85" hidden="false" customHeight="false" outlineLevel="0" collapsed="false">
      <c r="A66" s="31" t="n">
        <v>65</v>
      </c>
      <c r="B66" s="31" t="s">
        <v>15</v>
      </c>
      <c r="C66" s="32" t="s">
        <v>104</v>
      </c>
      <c r="D66" s="33" t="s">
        <v>152</v>
      </c>
      <c r="E66" s="31" t="s">
        <v>131</v>
      </c>
      <c r="F66" s="33" t="s">
        <v>153</v>
      </c>
      <c r="G66" s="32" t="s">
        <v>127</v>
      </c>
    </row>
    <row r="67" customFormat="false" ht="15" hidden="false" customHeight="false" outlineLevel="0" collapsed="false">
      <c r="A67" s="17" t="n">
        <v>66</v>
      </c>
      <c r="B67" s="17" t="s">
        <v>32</v>
      </c>
      <c r="C67" s="19" t="s">
        <v>104</v>
      </c>
      <c r="D67" s="18" t="s">
        <v>154</v>
      </c>
      <c r="E67" s="17" t="s">
        <v>10</v>
      </c>
      <c r="F67" s="18" t="s">
        <v>155</v>
      </c>
      <c r="G67" s="19" t="s">
        <v>80</v>
      </c>
    </row>
    <row r="68" customFormat="false" ht="23.85" hidden="false" customHeight="false" outlineLevel="0" collapsed="false">
      <c r="A68" s="25" t="n">
        <v>67</v>
      </c>
      <c r="B68" s="25" t="s">
        <v>32</v>
      </c>
      <c r="C68" s="26" t="s">
        <v>104</v>
      </c>
      <c r="D68" s="27" t="s">
        <v>156</v>
      </c>
      <c r="E68" s="25" t="s">
        <v>10</v>
      </c>
      <c r="F68" s="27" t="s">
        <v>157</v>
      </c>
      <c r="G68" s="26" t="s">
        <v>109</v>
      </c>
    </row>
    <row r="69" customFormat="false" ht="15" hidden="false" customHeight="false" outlineLevel="0" collapsed="false">
      <c r="A69" s="6" t="n">
        <v>68</v>
      </c>
      <c r="B69" s="6" t="s">
        <v>32</v>
      </c>
      <c r="C69" s="8" t="s">
        <v>104</v>
      </c>
      <c r="D69" s="7" t="s">
        <v>158</v>
      </c>
      <c r="E69" s="6" t="s">
        <v>10</v>
      </c>
      <c r="F69" s="7" t="s">
        <v>159</v>
      </c>
      <c r="G69" s="8" t="s">
        <v>39</v>
      </c>
    </row>
    <row r="70" customFormat="false" ht="23.85" hidden="false" customHeight="false" outlineLevel="0" collapsed="false">
      <c r="A70" s="21" t="n">
        <v>69</v>
      </c>
      <c r="B70" s="21" t="s">
        <v>32</v>
      </c>
      <c r="C70" s="23" t="s">
        <v>104</v>
      </c>
      <c r="D70" s="24" t="s">
        <v>160</v>
      </c>
      <c r="E70" s="21" t="s">
        <v>17</v>
      </c>
      <c r="F70" s="22" t="s">
        <v>93</v>
      </c>
      <c r="G70" s="23" t="s">
        <v>91</v>
      </c>
    </row>
    <row r="71" customFormat="false" ht="23.85" hidden="false" customHeight="false" outlineLevel="0" collapsed="false">
      <c r="A71" s="28" t="n">
        <v>70</v>
      </c>
      <c r="B71" s="28" t="s">
        <v>32</v>
      </c>
      <c r="C71" s="29" t="s">
        <v>104</v>
      </c>
      <c r="D71" s="30" t="s">
        <v>161</v>
      </c>
      <c r="E71" s="28" t="s">
        <v>10</v>
      </c>
      <c r="F71" s="30" t="s">
        <v>162</v>
      </c>
      <c r="G71" s="29" t="s">
        <v>120</v>
      </c>
    </row>
    <row r="72" customFormat="false" ht="23.85" hidden="false" customHeight="false" outlineLevel="0" collapsed="false">
      <c r="A72" s="28" t="n">
        <v>71</v>
      </c>
      <c r="B72" s="28" t="s">
        <v>32</v>
      </c>
      <c r="C72" s="29" t="s">
        <v>104</v>
      </c>
      <c r="D72" s="30" t="s">
        <v>163</v>
      </c>
      <c r="E72" s="28" t="s">
        <v>10</v>
      </c>
      <c r="F72" s="30" t="s">
        <v>164</v>
      </c>
      <c r="G72" s="29" t="s">
        <v>120</v>
      </c>
    </row>
    <row r="73" customFormat="false" ht="23.85" hidden="false" customHeight="false" outlineLevel="0" collapsed="false">
      <c r="A73" s="6" t="n">
        <v>72</v>
      </c>
      <c r="B73" s="6" t="s">
        <v>32</v>
      </c>
      <c r="C73" s="8" t="s">
        <v>104</v>
      </c>
      <c r="D73" s="7" t="s">
        <v>165</v>
      </c>
      <c r="E73" s="6" t="s">
        <v>10</v>
      </c>
      <c r="F73" s="7" t="s">
        <v>166</v>
      </c>
      <c r="G73" s="8" t="s">
        <v>39</v>
      </c>
    </row>
    <row r="74" customFormat="false" ht="23.85" hidden="false" customHeight="false" outlineLevel="0" collapsed="false">
      <c r="A74" s="34" t="n">
        <v>73</v>
      </c>
      <c r="B74" s="34" t="s">
        <v>32</v>
      </c>
      <c r="C74" s="35" t="s">
        <v>104</v>
      </c>
      <c r="D74" s="36" t="s">
        <v>167</v>
      </c>
      <c r="E74" s="34" t="s">
        <v>10</v>
      </c>
      <c r="F74" s="36" t="s">
        <v>168</v>
      </c>
      <c r="G74" s="35" t="s">
        <v>151</v>
      </c>
    </row>
    <row r="75" customFormat="false" ht="23.85" hidden="false" customHeight="false" outlineLevel="0" collapsed="false">
      <c r="A75" s="31" t="n">
        <v>74</v>
      </c>
      <c r="B75" s="31" t="s">
        <v>32</v>
      </c>
      <c r="C75" s="32" t="s">
        <v>104</v>
      </c>
      <c r="D75" s="33" t="s">
        <v>169</v>
      </c>
      <c r="E75" s="31" t="s">
        <v>10</v>
      </c>
      <c r="F75" s="33" t="s">
        <v>170</v>
      </c>
      <c r="G75" s="32" t="s">
        <v>127</v>
      </c>
    </row>
    <row r="76" customFormat="false" ht="23.85" hidden="false" customHeight="false" outlineLevel="0" collapsed="false">
      <c r="A76" s="31" t="n">
        <v>75</v>
      </c>
      <c r="B76" s="31" t="s">
        <v>32</v>
      </c>
      <c r="C76" s="32" t="s">
        <v>104</v>
      </c>
      <c r="D76" s="33" t="s">
        <v>171</v>
      </c>
      <c r="E76" s="31" t="s">
        <v>10</v>
      </c>
      <c r="F76" s="33" t="s">
        <v>172</v>
      </c>
      <c r="G76" s="32" t="s">
        <v>127</v>
      </c>
    </row>
    <row r="77" customFormat="false" ht="23.85" hidden="false" customHeight="false" outlineLevel="0" collapsed="false">
      <c r="A77" s="17" t="n">
        <v>76</v>
      </c>
      <c r="B77" s="17" t="s">
        <v>173</v>
      </c>
      <c r="C77" s="19" t="s">
        <v>104</v>
      </c>
      <c r="D77" s="18" t="s">
        <v>174</v>
      </c>
      <c r="E77" s="17" t="s">
        <v>10</v>
      </c>
      <c r="F77" s="18" t="s">
        <v>175</v>
      </c>
      <c r="G77" s="19" t="s">
        <v>80</v>
      </c>
    </row>
    <row r="78" customFormat="false" ht="15" hidden="false" customHeight="false" outlineLevel="0" collapsed="false">
      <c r="A78" s="25" t="n">
        <v>77</v>
      </c>
      <c r="B78" s="25" t="s">
        <v>173</v>
      </c>
      <c r="C78" s="26" t="s">
        <v>104</v>
      </c>
      <c r="D78" s="27" t="s">
        <v>176</v>
      </c>
      <c r="E78" s="25" t="s">
        <v>10</v>
      </c>
      <c r="F78" s="27" t="s">
        <v>177</v>
      </c>
      <c r="G78" s="26" t="s">
        <v>109</v>
      </c>
    </row>
    <row r="79" customFormat="false" ht="23.85" hidden="false" customHeight="false" outlineLevel="0" collapsed="false">
      <c r="A79" s="6" t="n">
        <v>78</v>
      </c>
      <c r="B79" s="6" t="s">
        <v>173</v>
      </c>
      <c r="C79" s="8" t="s">
        <v>104</v>
      </c>
      <c r="D79" s="7" t="s">
        <v>178</v>
      </c>
      <c r="E79" s="6" t="s">
        <v>10</v>
      </c>
      <c r="F79" s="7" t="s">
        <v>179</v>
      </c>
      <c r="G79" s="8" t="s">
        <v>39</v>
      </c>
    </row>
    <row r="80" customFormat="false" ht="15" hidden="false" customHeight="false" outlineLevel="0" collapsed="false">
      <c r="A80" s="2" t="n">
        <v>79</v>
      </c>
      <c r="B80" s="2" t="s">
        <v>173</v>
      </c>
      <c r="C80" s="4" t="s">
        <v>104</v>
      </c>
      <c r="D80" s="3" t="s">
        <v>180</v>
      </c>
      <c r="E80" s="2" t="s">
        <v>10</v>
      </c>
      <c r="F80" s="3" t="s">
        <v>181</v>
      </c>
      <c r="G80" s="4" t="s">
        <v>12</v>
      </c>
    </row>
    <row r="81" customFormat="false" ht="23.85" hidden="false" customHeight="false" outlineLevel="0" collapsed="false">
      <c r="A81" s="28" t="n">
        <v>80</v>
      </c>
      <c r="B81" s="28" t="s">
        <v>173</v>
      </c>
      <c r="C81" s="29" t="s">
        <v>104</v>
      </c>
      <c r="D81" s="30" t="s">
        <v>182</v>
      </c>
      <c r="E81" s="28" t="s">
        <v>10</v>
      </c>
      <c r="F81" s="30" t="s">
        <v>183</v>
      </c>
      <c r="G81" s="29" t="s">
        <v>120</v>
      </c>
    </row>
    <row r="82" customFormat="false" ht="15" hidden="false" customHeight="false" outlineLevel="0" collapsed="false">
      <c r="A82" s="17" t="n">
        <v>81</v>
      </c>
      <c r="B82" s="17" t="s">
        <v>173</v>
      </c>
      <c r="C82" s="19" t="s">
        <v>104</v>
      </c>
      <c r="D82" s="18" t="s">
        <v>184</v>
      </c>
      <c r="E82" s="17" t="s">
        <v>10</v>
      </c>
      <c r="F82" s="18" t="s">
        <v>185</v>
      </c>
      <c r="G82" s="19" t="s">
        <v>80</v>
      </c>
    </row>
    <row r="83" customFormat="false" ht="23.85" hidden="false" customHeight="false" outlineLevel="0" collapsed="false">
      <c r="A83" s="6" t="n">
        <v>82</v>
      </c>
      <c r="B83" s="6" t="s">
        <v>173</v>
      </c>
      <c r="C83" s="8" t="s">
        <v>104</v>
      </c>
      <c r="D83" s="7" t="s">
        <v>186</v>
      </c>
      <c r="E83" s="6" t="s">
        <v>10</v>
      </c>
      <c r="F83" s="7" t="s">
        <v>187</v>
      </c>
      <c r="G83" s="8" t="s">
        <v>39</v>
      </c>
    </row>
    <row r="84" customFormat="false" ht="15" hidden="false" customHeight="false" outlineLevel="0" collapsed="false">
      <c r="A84" s="10" t="n">
        <v>83</v>
      </c>
      <c r="B84" s="10" t="s">
        <v>173</v>
      </c>
      <c r="C84" s="12" t="s">
        <v>104</v>
      </c>
      <c r="D84" s="11" t="s">
        <v>188</v>
      </c>
      <c r="E84" s="10" t="s">
        <v>10</v>
      </c>
      <c r="F84" s="11" t="s">
        <v>189</v>
      </c>
      <c r="G84" s="12" t="s">
        <v>56</v>
      </c>
    </row>
    <row r="85" customFormat="false" ht="23.85" hidden="false" customHeight="false" outlineLevel="0" collapsed="false">
      <c r="A85" s="31" t="n">
        <v>84</v>
      </c>
      <c r="B85" s="31" t="s">
        <v>173</v>
      </c>
      <c r="C85" s="32" t="s">
        <v>104</v>
      </c>
      <c r="D85" s="33" t="s">
        <v>190</v>
      </c>
      <c r="E85" s="31" t="s">
        <v>10</v>
      </c>
      <c r="F85" s="33" t="s">
        <v>191</v>
      </c>
      <c r="G85" s="32" t="s">
        <v>127</v>
      </c>
    </row>
    <row r="86" customFormat="false" ht="15" hidden="false" customHeight="false" outlineLevel="0" collapsed="false">
      <c r="A86" s="6" t="n">
        <v>85</v>
      </c>
      <c r="B86" s="6" t="s">
        <v>173</v>
      </c>
      <c r="C86" s="8" t="s">
        <v>104</v>
      </c>
      <c r="D86" s="7" t="s">
        <v>192</v>
      </c>
      <c r="E86" s="6" t="s">
        <v>10</v>
      </c>
      <c r="F86" s="7" t="s">
        <v>193</v>
      </c>
      <c r="G86" s="8" t="s">
        <v>39</v>
      </c>
    </row>
    <row r="87" customFormat="false" ht="15" hidden="false" customHeight="false" outlineLevel="0" collapsed="false">
      <c r="A87" s="34" t="n">
        <v>86</v>
      </c>
      <c r="B87" s="34" t="s">
        <v>173</v>
      </c>
      <c r="C87" s="35" t="s">
        <v>104</v>
      </c>
      <c r="D87" s="36" t="s">
        <v>194</v>
      </c>
      <c r="E87" s="34" t="s">
        <v>10</v>
      </c>
      <c r="F87" s="36" t="s">
        <v>195</v>
      </c>
      <c r="G87" s="35" t="s">
        <v>151</v>
      </c>
    </row>
    <row r="88" customFormat="false" ht="15" hidden="false" customHeight="false" outlineLevel="0" collapsed="false">
      <c r="A88" s="31" t="n">
        <v>87</v>
      </c>
      <c r="B88" s="31" t="s">
        <v>173</v>
      </c>
      <c r="C88" s="32" t="s">
        <v>104</v>
      </c>
      <c r="D88" s="33" t="s">
        <v>196</v>
      </c>
      <c r="E88" s="31" t="s">
        <v>10</v>
      </c>
      <c r="F88" s="33" t="s">
        <v>197</v>
      </c>
      <c r="G88" s="32" t="s">
        <v>127</v>
      </c>
    </row>
    <row r="89" customFormat="false" ht="23.85" hidden="false" customHeight="false" outlineLevel="0" collapsed="false">
      <c r="A89" s="21" t="n">
        <v>88</v>
      </c>
      <c r="B89" s="21" t="s">
        <v>173</v>
      </c>
      <c r="C89" s="23" t="s">
        <v>104</v>
      </c>
      <c r="D89" s="22" t="s">
        <v>198</v>
      </c>
      <c r="E89" s="21" t="s">
        <v>10</v>
      </c>
      <c r="F89" s="22" t="s">
        <v>199</v>
      </c>
      <c r="G89" s="23" t="s">
        <v>91</v>
      </c>
    </row>
    <row r="90" customFormat="false" ht="15" hidden="false" customHeight="false" outlineLevel="0" collapsed="false">
      <c r="A90" s="21" t="n">
        <v>89</v>
      </c>
      <c r="B90" s="21" t="s">
        <v>173</v>
      </c>
      <c r="C90" s="23" t="s">
        <v>104</v>
      </c>
      <c r="D90" s="22" t="s">
        <v>200</v>
      </c>
      <c r="E90" s="21" t="s">
        <v>10</v>
      </c>
      <c r="F90" s="22" t="s">
        <v>201</v>
      </c>
      <c r="G90" s="23" t="s">
        <v>91</v>
      </c>
    </row>
    <row r="91" customFormat="false" ht="23.85" hidden="false" customHeight="false" outlineLevel="0" collapsed="false">
      <c r="A91" s="21" t="n">
        <v>90</v>
      </c>
      <c r="B91" s="21" t="s">
        <v>173</v>
      </c>
      <c r="C91" s="23" t="s">
        <v>104</v>
      </c>
      <c r="D91" s="22" t="s">
        <v>202</v>
      </c>
      <c r="E91" s="21" t="s">
        <v>10</v>
      </c>
      <c r="F91" s="22" t="s">
        <v>203</v>
      </c>
      <c r="G91" s="23" t="s">
        <v>91</v>
      </c>
    </row>
    <row r="92" customFormat="false" ht="23.85" hidden="false" customHeight="false" outlineLevel="0" collapsed="false">
      <c r="A92" s="6" t="n">
        <v>91</v>
      </c>
      <c r="B92" s="6" t="s">
        <v>173</v>
      </c>
      <c r="C92" s="8" t="s">
        <v>104</v>
      </c>
      <c r="D92" s="7" t="s">
        <v>204</v>
      </c>
      <c r="E92" s="6" t="s">
        <v>10</v>
      </c>
      <c r="F92" s="7" t="s">
        <v>205</v>
      </c>
      <c r="G92" s="8" t="s">
        <v>39</v>
      </c>
    </row>
  </sheetData>
  <autoFilter ref="A1:G92"/>
  <dataValidations count="4">
    <dataValidation allowBlank="true" errorStyle="stop" operator="between" showDropDown="false" showErrorMessage="false" showInputMessage="false" sqref="G2:G300" type="list">
      <formula1>"T1,T2,T3,T4,T5,T6,T7,T8,T9,Isolato"</formula1>
      <formula2>0</formula2>
    </dataValidation>
    <dataValidation allowBlank="true" errorStyle="stop" operator="between" showDropDown="false" showErrorMessage="false" showInputMessage="false" sqref="B2:B300" type="list">
      <formula1>"P1,P2,P3,P4,P6"</formula1>
      <formula2>0</formula2>
    </dataValidation>
    <dataValidation allowBlank="true" errorStyle="stop" operator="between" showDropDown="false" showErrorMessage="false" showInputMessage="false" sqref="C2:C300" type="list">
      <formula1>"C1,C2"</formula1>
      <formula2>0</formula2>
    </dataValidation>
    <dataValidation allowBlank="true" errorStyle="stop" operator="between" showDropDown="false" showErrorMessage="false" showInputMessage="false" sqref="E2:E300" type="list">
      <formula1>"trascrizione,appunti,risposta scritta"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10" min="6" style="0" width="6"/>
    <col collapsed="false" customWidth="true" hidden="false" outlineLevel="0" max="11" min="11" style="0" width="15"/>
  </cols>
  <sheetData>
    <row r="1" customFormat="false" ht="26.85" hidden="false" customHeight="false" outlineLevel="0" collapsed="false">
      <c r="A1" s="1" t="s">
        <v>6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7</v>
      </c>
      <c r="G1" s="1" t="s">
        <v>15</v>
      </c>
      <c r="H1" s="1" t="s">
        <v>32</v>
      </c>
      <c r="I1" s="1" t="s">
        <v>23</v>
      </c>
      <c r="J1" s="1" t="s">
        <v>173</v>
      </c>
      <c r="K1" s="1" t="s">
        <v>210</v>
      </c>
    </row>
    <row r="2" customFormat="false" ht="15" hidden="false" customHeight="false" outlineLevel="0" collapsed="false">
      <c r="A2" s="4" t="s">
        <v>12</v>
      </c>
      <c r="B2" s="3" t="s">
        <v>211</v>
      </c>
      <c r="C2" s="2"/>
      <c r="D2" s="2" t="n">
        <f aca="false">COUNTIF(Codifica!$G$2:$G$300,A2)</f>
        <v>15</v>
      </c>
      <c r="E2" s="2" t="n">
        <f aca="false">COUNTIFS(Codifica!$G$2:$G$300,A2,Codifica!$C$2:$C$300,"C2")</f>
        <v>4</v>
      </c>
      <c r="F2" s="2" t="str">
        <f aca="false">IF(COUNTIFS(Codifica!$G$2:$G$300,$A2,Codifica!$B$2:$B$300,F$1)&gt;0,"✓","")</f>
        <v>✓</v>
      </c>
      <c r="G2" s="2" t="str">
        <f aca="false">IF(COUNTIFS(Codifica!$G$2:$G$300,$A2,Codifica!$B$2:$B$300,G$1)&gt;0,"✓","")</f>
        <v>✓</v>
      </c>
      <c r="H2" s="2" t="str">
        <f aca="false">IF(COUNTIFS(Codifica!$G$2:$G$300,$A2,Codifica!$B$2:$B$300,H$1)&gt;0,"✓","")</f>
        <v>✓</v>
      </c>
      <c r="I2" s="2" t="str">
        <f aca="false">IF(COUNTIFS(Codifica!$G$2:$G$300,$A2,Codifica!$B$2:$B$300,I$1)&gt;0,"✓","")</f>
        <v>✓</v>
      </c>
      <c r="J2" s="2" t="str">
        <f aca="false">IF(COUNTIFS(Codifica!$G$2:$G$300,$A2,Codifica!$B$2:$B$300,J$1)&gt;0,"✓","")</f>
        <v>✓</v>
      </c>
      <c r="K2" s="2" t="n">
        <f aca="false">COUNTIF(F2:J2,"✓")</f>
        <v>5</v>
      </c>
    </row>
    <row r="3" customFormat="false" ht="15" hidden="false" customHeight="false" outlineLevel="0" collapsed="false">
      <c r="A3" s="8" t="s">
        <v>39</v>
      </c>
      <c r="B3" s="7" t="s">
        <v>212</v>
      </c>
      <c r="C3" s="6"/>
      <c r="D3" s="6" t="n">
        <f aca="false">COUNTIF(Codifica!$G$2:$G$300,A3)</f>
        <v>18</v>
      </c>
      <c r="E3" s="6" t="n">
        <f aca="false">COUNTIFS(Codifica!$G$2:$G$300,A3,Codifica!$C$2:$C$300,"C2")</f>
        <v>10</v>
      </c>
      <c r="F3" s="6" t="str">
        <f aca="false">IF(COUNTIFS(Codifica!$G$2:$G$300,$A3,Codifica!$B$2:$B$300,F$1)&gt;0,"✓","")</f>
        <v>✓</v>
      </c>
      <c r="G3" s="6" t="str">
        <f aca="false">IF(COUNTIFS(Codifica!$G$2:$G$300,$A3,Codifica!$B$2:$B$300,G$1)&gt;0,"✓","")</f>
        <v>✓</v>
      </c>
      <c r="H3" s="6" t="str">
        <f aca="false">IF(COUNTIFS(Codifica!$G$2:$G$300,$A3,Codifica!$B$2:$B$300,H$1)&gt;0,"✓","")</f>
        <v>✓</v>
      </c>
      <c r="I3" s="6" t="str">
        <f aca="false">IF(COUNTIFS(Codifica!$G$2:$G$300,$A3,Codifica!$B$2:$B$300,I$1)&gt;0,"✓","")</f>
        <v>✓</v>
      </c>
      <c r="J3" s="6" t="str">
        <f aca="false">IF(COUNTIFS(Codifica!$G$2:$G$300,$A3,Codifica!$B$2:$B$300,J$1)&gt;0,"✓","")</f>
        <v>✓</v>
      </c>
      <c r="K3" s="6" t="n">
        <f aca="false">COUNTIF(F3:J3,"✓")</f>
        <v>5</v>
      </c>
    </row>
    <row r="4" customFormat="false" ht="15" hidden="false" customHeight="false" outlineLevel="0" collapsed="false">
      <c r="A4" s="12" t="s">
        <v>56</v>
      </c>
      <c r="B4" s="11" t="s">
        <v>213</v>
      </c>
      <c r="C4" s="10"/>
      <c r="D4" s="10" t="n">
        <f aca="false">COUNTIF(Codifica!$G$2:$G$300,A4)</f>
        <v>11</v>
      </c>
      <c r="E4" s="10" t="n">
        <f aca="false">COUNTIFS(Codifica!$G$2:$G$300,A4,Codifica!$C$2:$C$300,"C2")</f>
        <v>4</v>
      </c>
      <c r="F4" s="10" t="str">
        <f aca="false">IF(COUNTIFS(Codifica!$G$2:$G$300,$A4,Codifica!$B$2:$B$300,F$1)&gt;0,"✓","")</f>
        <v>✓</v>
      </c>
      <c r="G4" s="10" t="str">
        <f aca="false">IF(COUNTIFS(Codifica!$G$2:$G$300,$A4,Codifica!$B$2:$B$300,G$1)&gt;0,"✓","")</f>
        <v>✓</v>
      </c>
      <c r="H4" s="10" t="str">
        <f aca="false">IF(COUNTIFS(Codifica!$G$2:$G$300,$A4,Codifica!$B$2:$B$300,H$1)&gt;0,"✓","")</f>
        <v>✓</v>
      </c>
      <c r="I4" s="10" t="str">
        <f aca="false">IF(COUNTIFS(Codifica!$G$2:$G$300,$A4,Codifica!$B$2:$B$300,I$1)&gt;0,"✓","")</f>
        <v>✓</v>
      </c>
      <c r="J4" s="10" t="str">
        <f aca="false">IF(COUNTIFS(Codifica!$G$2:$G$300,$A4,Codifica!$B$2:$B$300,J$1)&gt;0,"✓","")</f>
        <v>✓</v>
      </c>
      <c r="K4" s="10" t="n">
        <f aca="false">COUNTIF(F4:J4,"✓")</f>
        <v>5</v>
      </c>
    </row>
    <row r="5" customFormat="false" ht="15" hidden="false" customHeight="false" outlineLevel="0" collapsed="false">
      <c r="A5" s="15" t="s">
        <v>71</v>
      </c>
      <c r="B5" s="14" t="s">
        <v>214</v>
      </c>
      <c r="C5" s="13"/>
      <c r="D5" s="13" t="n">
        <f aca="false">COUNTIF(Codifica!$G$2:$G$300,A5)</f>
        <v>4</v>
      </c>
      <c r="E5" s="13" t="n">
        <f aca="false">COUNTIFS(Codifica!$G$2:$G$300,A5,Codifica!$C$2:$C$300,"C2")</f>
        <v>0</v>
      </c>
      <c r="F5" s="13" t="str">
        <f aca="false">IF(COUNTIFS(Codifica!$G$2:$G$300,$A5,Codifica!$B$2:$B$300,F$1)&gt;0,"✓","")</f>
        <v/>
      </c>
      <c r="G5" s="13" t="str">
        <f aca="false">IF(COUNTIFS(Codifica!$G$2:$G$300,$A5,Codifica!$B$2:$B$300,G$1)&gt;0,"✓","")</f>
        <v/>
      </c>
      <c r="H5" s="13" t="str">
        <f aca="false">IF(COUNTIFS(Codifica!$G$2:$G$300,$A5,Codifica!$B$2:$B$300,H$1)&gt;0,"✓","")</f>
        <v>✓</v>
      </c>
      <c r="I5" s="13" t="str">
        <f aca="false">IF(COUNTIFS(Codifica!$G$2:$G$300,$A5,Codifica!$B$2:$B$300,I$1)&gt;0,"✓","")</f>
        <v>✓</v>
      </c>
      <c r="J5" s="13" t="str">
        <f aca="false">IF(COUNTIFS(Codifica!$G$2:$G$300,$A5,Codifica!$B$2:$B$300,J$1)&gt;0,"✓","")</f>
        <v/>
      </c>
      <c r="K5" s="13" t="n">
        <f aca="false">COUNTIF(F5:J5,"✓")</f>
        <v>2</v>
      </c>
    </row>
    <row r="6" customFormat="false" ht="15" hidden="false" customHeight="false" outlineLevel="0" collapsed="false">
      <c r="A6" s="19" t="s">
        <v>80</v>
      </c>
      <c r="B6" s="18" t="s">
        <v>215</v>
      </c>
      <c r="C6" s="17"/>
      <c r="D6" s="17" t="n">
        <f aca="false">COUNTIF(Codifica!$G$2:$G$300,A6)</f>
        <v>10</v>
      </c>
      <c r="E6" s="17" t="n">
        <f aca="false">COUNTIFS(Codifica!$G$2:$G$300,A6,Codifica!$C$2:$C$300,"C2")</f>
        <v>5</v>
      </c>
      <c r="F6" s="17" t="str">
        <f aca="false">IF(COUNTIFS(Codifica!$G$2:$G$300,$A6,Codifica!$B$2:$B$300,F$1)&gt;0,"✓","")</f>
        <v>✓</v>
      </c>
      <c r="G6" s="17" t="str">
        <f aca="false">IF(COUNTIFS(Codifica!$G$2:$G$300,$A6,Codifica!$B$2:$B$300,G$1)&gt;0,"✓","")</f>
        <v>✓</v>
      </c>
      <c r="H6" s="17" t="str">
        <f aca="false">IF(COUNTIFS(Codifica!$G$2:$G$300,$A6,Codifica!$B$2:$B$300,H$1)&gt;0,"✓","")</f>
        <v>✓</v>
      </c>
      <c r="I6" s="17" t="str">
        <f aca="false">IF(COUNTIFS(Codifica!$G$2:$G$300,$A6,Codifica!$B$2:$B$300,I$1)&gt;0,"✓","")</f>
        <v>✓</v>
      </c>
      <c r="J6" s="17" t="str">
        <f aca="false">IF(COUNTIFS(Codifica!$G$2:$G$300,$A6,Codifica!$B$2:$B$300,J$1)&gt;0,"✓","")</f>
        <v>✓</v>
      </c>
      <c r="K6" s="17" t="n">
        <f aca="false">COUNTIF(F6:J6,"✓")</f>
        <v>5</v>
      </c>
    </row>
    <row r="7" customFormat="false" ht="15" hidden="false" customHeight="false" outlineLevel="0" collapsed="false">
      <c r="A7" s="32" t="s">
        <v>127</v>
      </c>
      <c r="B7" s="33" t="s">
        <v>216</v>
      </c>
      <c r="C7" s="31" t="s">
        <v>217</v>
      </c>
      <c r="D7" s="31" t="n">
        <f aca="false">COUNTIF(Codifica!$G$2:$G$300,A7)</f>
        <v>8</v>
      </c>
      <c r="E7" s="31" t="n">
        <f aca="false">COUNTIFS(Codifica!$G$2:$G$300,A7,Codifica!$C$2:$C$300,"C2")</f>
        <v>8</v>
      </c>
      <c r="F7" s="31" t="str">
        <f aca="false">IF(COUNTIFS(Codifica!$G$2:$G$300,$A7,Codifica!$B$2:$B$300,F$1)&gt;0,"✓","")</f>
        <v>✓</v>
      </c>
      <c r="G7" s="31" t="str">
        <f aca="false">IF(COUNTIFS(Codifica!$G$2:$G$300,$A7,Codifica!$B$2:$B$300,G$1)&gt;0,"✓","")</f>
        <v>✓</v>
      </c>
      <c r="H7" s="31" t="str">
        <f aca="false">IF(COUNTIFS(Codifica!$G$2:$G$300,$A7,Codifica!$B$2:$B$300,H$1)&gt;0,"✓","")</f>
        <v>✓</v>
      </c>
      <c r="I7" s="31" t="str">
        <f aca="false">IF(COUNTIFS(Codifica!$G$2:$G$300,$A7,Codifica!$B$2:$B$300,I$1)&gt;0,"✓","")</f>
        <v/>
      </c>
      <c r="J7" s="31" t="str">
        <f aca="false">IF(COUNTIFS(Codifica!$G$2:$G$300,$A7,Codifica!$B$2:$B$300,J$1)&gt;0,"✓","")</f>
        <v>✓</v>
      </c>
      <c r="K7" s="31" t="n">
        <f aca="false">COUNTIF(F7:J7,"✓")</f>
        <v>4</v>
      </c>
    </row>
    <row r="8" customFormat="false" ht="23.85" hidden="false" customHeight="false" outlineLevel="0" collapsed="false">
      <c r="A8" s="29" t="s">
        <v>120</v>
      </c>
      <c r="B8" s="30" t="s">
        <v>218</v>
      </c>
      <c r="C8" s="28" t="s">
        <v>217</v>
      </c>
      <c r="D8" s="28" t="n">
        <f aca="false">COUNTIF(Codifica!$G$2:$G$300,A8)</f>
        <v>6</v>
      </c>
      <c r="E8" s="28" t="n">
        <f aca="false">COUNTIFS(Codifica!$G$2:$G$300,A8,Codifica!$C$2:$C$300,"C2")</f>
        <v>6</v>
      </c>
      <c r="F8" s="28" t="str">
        <f aca="false">IF(COUNTIFS(Codifica!$G$2:$G$300,$A8,Codifica!$B$2:$B$300,F$1)&gt;0,"✓","")</f>
        <v>✓</v>
      </c>
      <c r="G8" s="28" t="str">
        <f aca="false">IF(COUNTIFS(Codifica!$G$2:$G$300,$A8,Codifica!$B$2:$B$300,G$1)&gt;0,"✓","")</f>
        <v>✓</v>
      </c>
      <c r="H8" s="28" t="str">
        <f aca="false">IF(COUNTIFS(Codifica!$G$2:$G$300,$A8,Codifica!$B$2:$B$300,H$1)&gt;0,"✓","")</f>
        <v>✓</v>
      </c>
      <c r="I8" s="28" t="str">
        <f aca="false">IF(COUNTIFS(Codifica!$G$2:$G$300,$A8,Codifica!$B$2:$B$300,I$1)&gt;0,"✓","")</f>
        <v/>
      </c>
      <c r="J8" s="28" t="str">
        <f aca="false">IF(COUNTIFS(Codifica!$G$2:$G$300,$A8,Codifica!$B$2:$B$300,J$1)&gt;0,"✓","")</f>
        <v>✓</v>
      </c>
      <c r="K8" s="28" t="n">
        <f aca="false">COUNTIF(F8:J8,"✓")</f>
        <v>4</v>
      </c>
    </row>
    <row r="9" customFormat="false" ht="15" hidden="false" customHeight="false" outlineLevel="0" collapsed="false">
      <c r="A9" s="35" t="s">
        <v>151</v>
      </c>
      <c r="B9" s="36" t="s">
        <v>219</v>
      </c>
      <c r="C9" s="34" t="s">
        <v>217</v>
      </c>
      <c r="D9" s="34" t="n">
        <f aca="false">COUNTIF(Codifica!$G$2:$G$300,A9)</f>
        <v>3</v>
      </c>
      <c r="E9" s="34" t="n">
        <f aca="false">COUNTIFS(Codifica!$G$2:$G$300,A9,Codifica!$C$2:$C$300,"C2")</f>
        <v>3</v>
      </c>
      <c r="F9" s="34" t="str">
        <f aca="false">IF(COUNTIFS(Codifica!$G$2:$G$300,$A9,Codifica!$B$2:$B$300,F$1)&gt;0,"✓","")</f>
        <v/>
      </c>
      <c r="G9" s="34" t="str">
        <f aca="false">IF(COUNTIFS(Codifica!$G$2:$G$300,$A9,Codifica!$B$2:$B$300,G$1)&gt;0,"✓","")</f>
        <v>✓</v>
      </c>
      <c r="H9" s="34" t="str">
        <f aca="false">IF(COUNTIFS(Codifica!$G$2:$G$300,$A9,Codifica!$B$2:$B$300,H$1)&gt;0,"✓","")</f>
        <v>✓</v>
      </c>
      <c r="I9" s="34" t="str">
        <f aca="false">IF(COUNTIFS(Codifica!$G$2:$G$300,$A9,Codifica!$B$2:$B$300,I$1)&gt;0,"✓","")</f>
        <v/>
      </c>
      <c r="J9" s="34" t="str">
        <f aca="false">IF(COUNTIFS(Codifica!$G$2:$G$300,$A9,Codifica!$B$2:$B$300,J$1)&gt;0,"✓","")</f>
        <v>✓</v>
      </c>
      <c r="K9" s="34" t="n">
        <f aca="false">COUNTIF(F9:J9,"✓")</f>
        <v>3</v>
      </c>
    </row>
    <row r="10" customFormat="false" ht="15" hidden="false" customHeight="false" outlineLevel="0" collapsed="false">
      <c r="A10" s="26" t="s">
        <v>109</v>
      </c>
      <c r="B10" s="27" t="s">
        <v>220</v>
      </c>
      <c r="C10" s="25" t="s">
        <v>217</v>
      </c>
      <c r="D10" s="25" t="n">
        <f aca="false">COUNTIF(Codifica!$G$2:$G$300,A10)</f>
        <v>4</v>
      </c>
      <c r="E10" s="25" t="n">
        <f aca="false">COUNTIFS(Codifica!$G$2:$G$300,A10,Codifica!$C$2:$C$300,"C2")</f>
        <v>4</v>
      </c>
      <c r="F10" s="25" t="str">
        <f aca="false">IF(COUNTIFS(Codifica!$G$2:$G$300,$A10,Codifica!$B$2:$B$300,F$1)&gt;0,"✓","")</f>
        <v>✓</v>
      </c>
      <c r="G10" s="25" t="str">
        <f aca="false">IF(COUNTIFS(Codifica!$G$2:$G$300,$A10,Codifica!$B$2:$B$300,G$1)&gt;0,"✓","")</f>
        <v>✓</v>
      </c>
      <c r="H10" s="25" t="str">
        <f aca="false">IF(COUNTIFS(Codifica!$G$2:$G$300,$A10,Codifica!$B$2:$B$300,H$1)&gt;0,"✓","")</f>
        <v>✓</v>
      </c>
      <c r="I10" s="25" t="str">
        <f aca="false">IF(COUNTIFS(Codifica!$G$2:$G$300,$A10,Codifica!$B$2:$B$300,I$1)&gt;0,"✓","")</f>
        <v/>
      </c>
      <c r="J10" s="25" t="str">
        <f aca="false">IF(COUNTIFS(Codifica!$G$2:$G$300,$A10,Codifica!$B$2:$B$300,J$1)&gt;0,"✓","")</f>
        <v>✓</v>
      </c>
      <c r="K10" s="25" t="n">
        <f aca="false">COUNTIF(F10:J10,"✓")</f>
        <v>4</v>
      </c>
    </row>
    <row r="11" customFormat="false" ht="15" hidden="false" customHeight="false" outlineLevel="0" collapsed="false">
      <c r="A11" s="23" t="s">
        <v>91</v>
      </c>
      <c r="B11" s="22" t="s">
        <v>221</v>
      </c>
      <c r="C11" s="21"/>
      <c r="D11" s="21" t="n">
        <f aca="false">COUNTIF(Codifica!$G$2:$G$300,A11)</f>
        <v>12</v>
      </c>
      <c r="E11" s="21" t="n">
        <f aca="false">COUNTIFS(Codifica!$G$2:$G$300,A11,Codifica!$C$2:$C$300,"C2")</f>
        <v>5</v>
      </c>
      <c r="F11" s="21" t="str">
        <f aca="false">IF(COUNTIFS(Codifica!$G$2:$G$300,$A11,Codifica!$B$2:$B$300,F$1)&gt;0,"✓","")</f>
        <v/>
      </c>
      <c r="G11" s="21" t="str">
        <f aca="false">IF(COUNTIFS(Codifica!$G$2:$G$300,$A11,Codifica!$B$2:$B$300,G$1)&gt;0,"✓","")</f>
        <v>✓</v>
      </c>
      <c r="H11" s="21" t="str">
        <f aca="false">IF(COUNTIFS(Codifica!$G$2:$G$300,$A11,Codifica!$B$2:$B$300,H$1)&gt;0,"✓","")</f>
        <v>✓</v>
      </c>
      <c r="I11" s="21" t="str">
        <f aca="false">IF(COUNTIFS(Codifica!$G$2:$G$300,$A11,Codifica!$B$2:$B$300,I$1)&gt;0,"✓","")</f>
        <v>✓</v>
      </c>
      <c r="J11" s="21" t="str">
        <f aca="false">IF(COUNTIFS(Codifica!$G$2:$G$300,$A11,Codifica!$B$2:$B$300,J$1)&gt;0,"✓","")</f>
        <v>✓</v>
      </c>
      <c r="K11" s="21" t="n">
        <f aca="false">COUNTIF(F11:J11,"✓")</f>
        <v>4</v>
      </c>
    </row>
    <row r="12" customFormat="false" ht="15" hidden="false" customHeight="false" outlineLevel="0" collapsed="false">
      <c r="A12" s="37" t="s">
        <v>222</v>
      </c>
      <c r="B12" s="38"/>
      <c r="C12" s="37"/>
      <c r="D12" s="37" t="n">
        <f aca="false">SUM(D2:D11)</f>
        <v>91</v>
      </c>
      <c r="E12" s="37" t="n">
        <f aca="false">SUM(E2:E11)</f>
        <v>49</v>
      </c>
      <c r="F12" s="37"/>
      <c r="G12" s="37"/>
      <c r="H12" s="37"/>
      <c r="I12" s="37"/>
      <c r="J12" s="37"/>
      <c r="K12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5" min="4" style="0" width="6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223</v>
      </c>
      <c r="B1" s="1" t="s">
        <v>224</v>
      </c>
      <c r="C1" s="1" t="s">
        <v>225</v>
      </c>
      <c r="D1" s="1" t="s">
        <v>8</v>
      </c>
      <c r="E1" s="1" t="s">
        <v>104</v>
      </c>
      <c r="F1" s="1" t="s">
        <v>226</v>
      </c>
    </row>
    <row r="2" customFormat="false" ht="15" hidden="false" customHeight="false" outlineLevel="0" collapsed="false">
      <c r="A2" s="37" t="s">
        <v>7</v>
      </c>
      <c r="B2" s="39" t="s">
        <v>227</v>
      </c>
      <c r="C2" s="40" t="s">
        <v>228</v>
      </c>
      <c r="D2" s="40" t="s">
        <v>229</v>
      </c>
      <c r="E2" s="40" t="s">
        <v>229</v>
      </c>
      <c r="F2" s="39" t="s">
        <v>230</v>
      </c>
    </row>
    <row r="3" customFormat="false" ht="15" hidden="false" customHeight="false" outlineLevel="0" collapsed="false">
      <c r="A3" s="37" t="s">
        <v>15</v>
      </c>
      <c r="B3" s="39" t="s">
        <v>231</v>
      </c>
      <c r="C3" s="40" t="s">
        <v>232</v>
      </c>
      <c r="D3" s="40" t="s">
        <v>229</v>
      </c>
      <c r="E3" s="40" t="s">
        <v>229</v>
      </c>
      <c r="F3" s="39" t="s">
        <v>233</v>
      </c>
    </row>
    <row r="4" customFormat="false" ht="15" hidden="false" customHeight="false" outlineLevel="0" collapsed="false">
      <c r="A4" s="37" t="s">
        <v>32</v>
      </c>
      <c r="B4" s="39" t="s">
        <v>234</v>
      </c>
      <c r="C4" s="40" t="s">
        <v>235</v>
      </c>
      <c r="D4" s="40" t="s">
        <v>229</v>
      </c>
      <c r="E4" s="40" t="s">
        <v>229</v>
      </c>
      <c r="F4" s="39" t="s">
        <v>230</v>
      </c>
    </row>
    <row r="5" customFormat="false" ht="15" hidden="false" customHeight="false" outlineLevel="0" collapsed="false">
      <c r="A5" s="37" t="s">
        <v>23</v>
      </c>
      <c r="B5" s="39" t="s">
        <v>236</v>
      </c>
      <c r="C5" s="40" t="s">
        <v>237</v>
      </c>
      <c r="D5" s="40" t="s">
        <v>229</v>
      </c>
      <c r="E5" s="40"/>
      <c r="F5" s="39" t="s">
        <v>238</v>
      </c>
    </row>
    <row r="6" customFormat="false" ht="15" hidden="false" customHeight="false" outlineLevel="0" collapsed="false">
      <c r="A6" s="37" t="s">
        <v>239</v>
      </c>
      <c r="B6" s="39" t="s">
        <v>240</v>
      </c>
      <c r="C6" s="40" t="s">
        <v>241</v>
      </c>
      <c r="D6" s="40"/>
      <c r="E6" s="40"/>
      <c r="F6" s="39" t="s">
        <v>242</v>
      </c>
    </row>
    <row r="7" customFormat="false" ht="15" hidden="false" customHeight="false" outlineLevel="0" collapsed="false">
      <c r="A7" s="37" t="s">
        <v>173</v>
      </c>
      <c r="B7" s="39" t="s">
        <v>243</v>
      </c>
      <c r="C7" s="40" t="s">
        <v>244</v>
      </c>
      <c r="D7" s="40"/>
      <c r="E7" s="40" t="s">
        <v>229</v>
      </c>
      <c r="F7" s="39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1" t="s">
        <v>246</v>
      </c>
    </row>
    <row r="2" customFormat="false" ht="23.85" hidden="false" customHeight="false" outlineLevel="0" collapsed="false">
      <c r="A2" s="42" t="s">
        <v>247</v>
      </c>
    </row>
    <row r="3" customFormat="false" ht="23.85" hidden="false" customHeight="false" outlineLevel="0" collapsed="false">
      <c r="A3" s="42" t="s">
        <v>248</v>
      </c>
    </row>
    <row r="4" customFormat="false" ht="23.85" hidden="false" customHeight="false" outlineLevel="0" collapsed="false">
      <c r="A4" s="42" t="s">
        <v>249</v>
      </c>
    </row>
    <row r="5" customFormat="false" ht="23.85" hidden="false" customHeight="false" outlineLevel="0" collapsed="false">
      <c r="A5" s="42" t="s">
        <v>250</v>
      </c>
    </row>
    <row r="6" customFormat="false" ht="23.85" hidden="false" customHeight="false" outlineLevel="0" collapsed="false">
      <c r="A6" s="42" t="s">
        <v>251</v>
      </c>
    </row>
    <row r="7" customFormat="false" ht="23.85" hidden="false" customHeight="false" outlineLevel="0" collapsed="false">
      <c r="A7" s="42" t="s">
        <v>252</v>
      </c>
    </row>
    <row r="8" customFormat="false" ht="15" hidden="false" customHeight="false" outlineLevel="0" collapsed="false">
      <c r="A8" s="42" t="s">
        <v>253</v>
      </c>
    </row>
    <row r="9" customFormat="false" ht="23.85" hidden="false" customHeight="false" outlineLevel="0" collapsed="false">
      <c r="A9" s="42" t="s">
        <v>254</v>
      </c>
    </row>
    <row r="10" customFormat="false" ht="23.85" hidden="false" customHeight="false" outlineLevel="0" collapsed="false">
      <c r="A10" s="42" t="s">
        <v>255</v>
      </c>
    </row>
    <row r="11" customFormat="false" ht="15" hidden="false" customHeight="false" outlineLevel="0" collapsed="false">
      <c r="A11" s="42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2026-10-25T15:52:31Z</dcterms:created>
  <dc:creator>openpyxl</dc:creator>
  <dc:description/>
  <dc:language>en-US</dc:language>
  <cp:lastModifiedBy/>
  <dcterms:modified xsi:type="dcterms:W3CDTF">2026-10-25T15:52:31Z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